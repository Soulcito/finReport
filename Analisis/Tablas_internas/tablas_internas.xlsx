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Analisis/Tablas_internas/"/>
    </mc:Choice>
  </mc:AlternateContent>
  <xr:revisionPtr revIDLastSave="202" documentId="11_F25DC773A252ABDACC104864C11848EE5ADE58EC" xr6:coauthVersionLast="47" xr6:coauthVersionMax="47" xr10:uidLastSave="{86A1DE1D-A66E-4240-B39B-66C9A82D77CB}"/>
  <bookViews>
    <workbookView xWindow="13590" yWindow="-16320" windowWidth="29040" windowHeight="15720" tabRatio="751" activeTab="7" xr2:uid="{00000000-000D-0000-FFFF-FFFF00000000}"/>
  </bookViews>
  <sheets>
    <sheet name="tipo_persona" sheetId="1" r:id="rId1"/>
    <sheet name="tipo_persona_rel" sheetId="2" r:id="rId2"/>
    <sheet name="operacion_titulo" sheetId="4" r:id="rId3"/>
    <sheet name="operacion_titulo_rel" sheetId="5" r:id="rId4"/>
    <sheet name="tipo_deudor" sheetId="7" r:id="rId5"/>
    <sheet name="tipo_deudor_rel" sheetId="8" r:id="rId6"/>
    <sheet name="tabla_banco_126" sheetId="10" r:id="rId7"/>
    <sheet name="tabla_banco_126_rel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1" l="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3" i="8"/>
  <c r="D2" i="8"/>
  <c r="D3" i="7"/>
  <c r="D2" i="7"/>
  <c r="D5" i="5"/>
  <c r="D4" i="5"/>
  <c r="D3" i="5"/>
  <c r="D2" i="5"/>
  <c r="D5" i="4"/>
  <c r="D4" i="4"/>
  <c r="D3" i="4"/>
  <c r="D2" i="4"/>
  <c r="D3" i="2" l="1"/>
  <c r="D2" i="2"/>
  <c r="D3" i="1"/>
  <c r="D2" i="1"/>
</calcChain>
</file>

<file path=xl/sharedStrings.xml><?xml version="1.0" encoding="utf-8"?>
<sst xmlns="http://schemas.openxmlformats.org/spreadsheetml/2006/main" count="137" uniqueCount="83">
  <si>
    <t>cod</t>
  </si>
  <si>
    <t>descripcion</t>
  </si>
  <si>
    <t>Personal Natural</t>
  </si>
  <si>
    <t>Persona Juridica</t>
  </si>
  <si>
    <t>cod_entidad</t>
  </si>
  <si>
    <t>Si, deuda positiva</t>
  </si>
  <si>
    <t>Si, deuda negativa</t>
  </si>
  <si>
    <t>Si, deuda positiva y negativa</t>
  </si>
  <si>
    <t>No</t>
  </si>
  <si>
    <t>cod_operacional</t>
  </si>
  <si>
    <t>Deudor directo</t>
  </si>
  <si>
    <t>Deudor indirecto</t>
  </si>
  <si>
    <t>cod_deudor</t>
  </si>
  <si>
    <t>tipo_operacion</t>
  </si>
  <si>
    <t>definicion</t>
  </si>
  <si>
    <t>01</t>
  </si>
  <si>
    <t>Créditos comerciales</t>
  </si>
  <si>
    <t>Todos aquellos créditos que no corresponden a las operaciones que se indican a continuación.</t>
  </si>
  <si>
    <t>02</t>
  </si>
  <si>
    <t>Créditos de consumo en cuotas</t>
  </si>
  <si>
    <t>Comprende los créditos pagaderos en cuotas cuyos deudores son personas naturales y que se otorgan para financiar bienes de consumo o el pago de servicios. Comprende también créditos de consumo cuando posean una cuota pendiente. No corresponde a créditos por tarjetas de crédito (código 07) ni uso de líneas de crédito o sobregiro (código 08).</t>
  </si>
  <si>
    <t>03</t>
  </si>
  <si>
    <t>Créditos para estudios superiores Ley N°20.027</t>
  </si>
  <si>
    <t>Comprende aquellos concedidos para el financiamiento de estudios superiores otorgados de acuerdo con la Ley N°20.027 (CAE).</t>
  </si>
  <si>
    <t>04</t>
  </si>
  <si>
    <t>Créditos educacionales con garantía CORFO</t>
  </si>
  <si>
    <t>Corresponde a préstamos estudiantiles otorgados con algún tipo de garantía de CORFO.</t>
  </si>
  <si>
    <t>05</t>
  </si>
  <si>
    <t>Otros créditos para estudios superiores</t>
  </si>
  <si>
    <t>Comprende todos los demás créditos otorgados para el financiamiento de estudios superiores distintos a los de la Ley N° 20.027 y de aquellos con garantía CORFO.</t>
  </si>
  <si>
    <t>06</t>
  </si>
  <si>
    <t>Créditos para la salud</t>
  </si>
  <si>
    <t>Corresponde a deudas contraídas con prestadores de salud públicos o privados y empresas relacionadas, sean instituciones financieras, casas comerciales u otras similares, en el marco de una atención o acción de salud ambulatoria, hospitalaria o de emergencia sean éstas consultas, procedimientos, exámenes, programas, cirugías u operaciones.</t>
  </si>
  <si>
    <t>07</t>
  </si>
  <si>
    <t>Créditos provenientes de la utilización de tarjetas de crédito</t>
  </si>
  <si>
    <t>Comprende los créditos provenientes del uso de tarjetas de crédito cuyos deudores son personas naturales y que se otorgan para financiar bienes de consumo o el pago de servicios.</t>
  </si>
  <si>
    <t>08</t>
  </si>
  <si>
    <t>Créditos con líneas de crédito o sobregiros en cuentas corrientes</t>
  </si>
  <si>
    <t>Comprende los créditos provenientes del uso de líneas de crédito cuyos deudores son personas naturales y que se otorgan para financiar bienes de consumo o el pago de servicios.</t>
  </si>
  <si>
    <t>09</t>
  </si>
  <si>
    <t>Otros créditos de consumo</t>
  </si>
  <si>
    <t>Comprende los créditos cuyos deudores son personas naturales y que se otorgan para financiar bienes de consumo o el pago de servicios no informados en los códigos precedentes.</t>
  </si>
  <si>
    <t>10</t>
  </si>
  <si>
    <t>Créditos para vivienda</t>
  </si>
  <si>
    <t>Corresponde a créditos que se otorgan a personas naturales para adquisición, ampliación, reparación o construcción de su vivienda. Comprende los préstamos en letras de crédito, con mutuos hipotecarios endosables u otros con aquellas características. Incluye los créditos de enlace que se hubieren otorgado antes del perfeccionamiento de los mutuos y los créditos complementarios destinados a la adquisición, ampliación, reparación o construcción de la vivienda.</t>
  </si>
  <si>
    <t>11</t>
  </si>
  <si>
    <t>Operaciones financieras</t>
  </si>
  <si>
    <t>Corresponde a contratos con pacto de retroventa y obligaciones por préstamos de valores.</t>
  </si>
  <si>
    <t>12</t>
  </si>
  <si>
    <t>Instrumentos de deuda adquiridos</t>
  </si>
  <si>
    <t>Corresponde a las deudas de los emisores de los instrumentos que para efectos contables forman parte de la cartera de negociación, disponibles para la venta o inversiones al vencimiento.</t>
  </si>
  <si>
    <t>13</t>
  </si>
  <si>
    <t>Créditos comerciales subrogados por el pago de garantías estatales</t>
  </si>
  <si>
    <t>14</t>
  </si>
  <si>
    <t>Créditos de consumo subrogados por el pago de garantías estatales</t>
  </si>
  <si>
    <t>15</t>
  </si>
  <si>
    <t>Créditos para vivienda subrogados por el pago de garantías estatales</t>
  </si>
  <si>
    <t>16</t>
  </si>
  <si>
    <t>Otros créditos subrogados por el pago de garantías estatales</t>
  </si>
  <si>
    <t>Corresponde a la porción de aquellos créditos en que se hizo efectivo el pago de una garantía estatal (FOGAPE y FOGAES), debiendo ser informados los importes impagos correspondientes a la subrogación que se origina por tal motivo, cuando la institución financiera mantiene la responsabilidad de su cobranza. La fracción no garantizada se continúa informando con el código originalmente asignado.</t>
  </si>
  <si>
    <t>31</t>
  </si>
  <si>
    <t>Leasing consumo</t>
  </si>
  <si>
    <t>Obligaciones que a la fecha de la información mantienen los arrendatarios que hayan pactado operaciones de leasing con el reportante cuando este sea persona natural y no sea en relación a una vivienda.</t>
  </si>
  <si>
    <t>32</t>
  </si>
  <si>
    <t>Leasing vivienda</t>
  </si>
  <si>
    <t>Obligaciones que a la fecha de la información mantienen los arrendatarios que hayan pactado operaciones de leasing con el reportante cuando este sea persona natural sea en relación a una vivienda.</t>
  </si>
  <si>
    <t>33</t>
  </si>
  <si>
    <t>Leasing comercial</t>
  </si>
  <si>
    <t>Obligaciones que a la fecha de la información mantienen los arrendatarios que hayan pactado operaciones de leasing con el reportante cuando este no sea una persona natural.</t>
  </si>
  <si>
    <t>41</t>
  </si>
  <si>
    <t>Créditos contingentes</t>
  </si>
  <si>
    <t>Corresponde a los créditos contingentes con excepción de las líneas de crédito y otros contingentes que se informan con los códigos 42, 43 y 44.</t>
  </si>
  <si>
    <t>42</t>
  </si>
  <si>
    <t>Cupos de líneas de crédito de libre disposición</t>
  </si>
  <si>
    <t>Corresponde a los créditos aprobados que pueden ser utilizados por la sola voluntad del cliente como los sobregiros pactados en cuenta corriente. Se trata sólo del monto correspondiente a los importes no utilizados, en que la institución está contractualmente obligada a admitir el crédito.</t>
  </si>
  <si>
    <t>43</t>
  </si>
  <si>
    <t>Cupos de tarjetas de crédito</t>
  </si>
  <si>
    <t>Corresponde a los cupos disponibles para tarjetas de crédito. Se entiende que el cupo corresponde sólo al monto no utilizado, debiendo incluirse en consecuencia como créditos (de consumo o comerciales, según corresponda) los montos ya utilizados, sea que la entidad reportante haya pagado o no las operaciones efectuadas con la tarjeta a la fecha a que se refiere la información.</t>
  </si>
  <si>
    <t>44</t>
  </si>
  <si>
    <t>Créditos contingentes para estudios superiores</t>
  </si>
  <si>
    <t>Corresponde a los créditos contingentes asociados a préstamos educacionales de la Ley N°20.027 u otros que generen una obligación contingente.</t>
  </si>
  <si>
    <t>cod_obligacion</t>
  </si>
  <si>
    <t>cod_persona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</si>
</sst>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2" sqref="D2"/>
    </sheetView>
  </sheetViews>
  <sheetFormatPr defaultColWidth="9.109375" defaultRowHeight="12" x14ac:dyDescent="0.15"/>
  <cols>
    <col min="1" max="1" width="9.109375" style="1"/>
    <col min="2" max="2" width="17.44140625" style="1" customWidth="1"/>
    <col min="3" max="16384" width="9.109375" style="1"/>
  </cols>
  <sheetData>
    <row r="1" spans="1:4" x14ac:dyDescent="0.15">
      <c r="A1" s="1" t="s">
        <v>0</v>
      </c>
      <c r="B1" s="1" t="s">
        <v>1</v>
      </c>
    </row>
    <row r="2" spans="1:4" x14ac:dyDescent="0.15">
      <c r="A2" s="1">
        <v>1</v>
      </c>
      <c r="B2" s="1" t="s">
        <v>2</v>
      </c>
      <c r="D2" s="1" t="str">
        <f>"insert into interno.tipo_persona values ('" &amp; A2 &amp; "','" &amp; B2 &amp; "');"</f>
        <v>insert into interno.tipo_persona values ('1','Personal Natural');</v>
      </c>
    </row>
    <row r="3" spans="1:4" x14ac:dyDescent="0.15">
      <c r="A3" s="1">
        <v>2</v>
      </c>
      <c r="B3" s="1" t="s">
        <v>3</v>
      </c>
      <c r="D3" s="1" t="str">
        <f>"insert into interno.tipo_persona values ('" &amp; A3 &amp; "','" &amp; B3 &amp; "');"</f>
        <v>insert into interno.tipo_persona values ('2','Persona Juridica');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7192-2074-4157-A266-76E347AEFB97}">
  <dimension ref="A1:D3"/>
  <sheetViews>
    <sheetView workbookViewId="0">
      <selection activeCell="D2" sqref="D2"/>
    </sheetView>
  </sheetViews>
  <sheetFormatPr defaultColWidth="9.109375" defaultRowHeight="12" x14ac:dyDescent="0.15"/>
  <cols>
    <col min="1" max="1" width="12" style="2" bestFit="1" customWidth="1"/>
    <col min="2" max="2" width="12.88671875" style="2" bestFit="1" customWidth="1"/>
    <col min="3" max="16384" width="9.109375" style="1"/>
  </cols>
  <sheetData>
    <row r="1" spans="1:4" x14ac:dyDescent="0.15">
      <c r="A1" s="2" t="s">
        <v>4</v>
      </c>
      <c r="B1" s="2" t="s">
        <v>82</v>
      </c>
    </row>
    <row r="2" spans="1:4" x14ac:dyDescent="0.15">
      <c r="A2" s="2">
        <v>1</v>
      </c>
      <c r="B2" s="2">
        <v>1</v>
      </c>
      <c r="D2" s="1" t="str">
        <f>"insert into interno.tipo_persona_rel values ('" &amp; A2 &amp; "','" &amp; B2 &amp; "');"</f>
        <v>insert into interno.tipo_persona_rel values ('1','1');</v>
      </c>
    </row>
    <row r="3" spans="1:4" x14ac:dyDescent="0.15">
      <c r="A3" s="2">
        <v>2</v>
      </c>
      <c r="B3" s="2">
        <v>2</v>
      </c>
      <c r="D3" s="1" t="str">
        <f>"insert into interno.tipo_persona_rel values ('" &amp; A3 &amp; "','" &amp; B3 &amp; "');"</f>
        <v>insert into interno.tipo_persona_rel values ('2','2');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1D4E-144C-43F7-A9C5-09CE307B183E}">
  <dimension ref="A1:D5"/>
  <sheetViews>
    <sheetView workbookViewId="0">
      <selection activeCell="D2" sqref="D2"/>
    </sheetView>
  </sheetViews>
  <sheetFormatPr defaultColWidth="9.109375" defaultRowHeight="12" x14ac:dyDescent="0.15"/>
  <cols>
    <col min="1" max="1" width="9.109375" style="1"/>
    <col min="2" max="2" width="30.6640625" style="1" bestFit="1" customWidth="1"/>
    <col min="3" max="16384" width="9.109375" style="1"/>
  </cols>
  <sheetData>
    <row r="1" spans="1:4" x14ac:dyDescent="0.15">
      <c r="A1" s="1" t="s">
        <v>0</v>
      </c>
      <c r="B1" s="1" t="s">
        <v>1</v>
      </c>
    </row>
    <row r="2" spans="1:4" x14ac:dyDescent="0.15">
      <c r="A2" s="1">
        <v>1</v>
      </c>
      <c r="B2" s="1" t="s">
        <v>5</v>
      </c>
      <c r="D2" s="1" t="str">
        <f>"insert into interno.operacion_titulo values ('" &amp; A2 &amp; "','" &amp; B2 &amp; "');"</f>
        <v>insert into interno.operacion_titulo values ('1','Si, deuda positiva');</v>
      </c>
    </row>
    <row r="3" spans="1:4" x14ac:dyDescent="0.15">
      <c r="A3" s="1">
        <v>2</v>
      </c>
      <c r="B3" s="1" t="s">
        <v>6</v>
      </c>
      <c r="D3" s="1" t="str">
        <f>"insert into interno.operacion_titulo values ('" &amp; A3 &amp; "','" &amp; B3 &amp; "');"</f>
        <v>insert into interno.operacion_titulo values ('2','Si, deuda negativa');</v>
      </c>
    </row>
    <row r="4" spans="1:4" x14ac:dyDescent="0.15">
      <c r="A4" s="1">
        <v>3</v>
      </c>
      <c r="B4" s="1" t="s">
        <v>7</v>
      </c>
      <c r="D4" s="1" t="str">
        <f>"insert into interno.operacion_titulo values ('" &amp; A4 &amp; "','" &amp; B4 &amp; "');"</f>
        <v>insert into interno.operacion_titulo values ('3','Si, deuda positiva y negativa');</v>
      </c>
    </row>
    <row r="5" spans="1:4" x14ac:dyDescent="0.15">
      <c r="A5" s="1">
        <v>4</v>
      </c>
      <c r="B5" s="1" t="s">
        <v>8</v>
      </c>
      <c r="D5" s="1" t="str">
        <f>"insert into interno.operacion_titulo values ('" &amp; A5 &amp; "','" &amp; B5 &amp; "');"</f>
        <v>insert into interno.operacion_titulo values ('4','No');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CB60-EAA9-4D3A-8E30-15A3D6AD8B7F}">
  <dimension ref="A1:D5"/>
  <sheetViews>
    <sheetView workbookViewId="0">
      <selection activeCell="D2" sqref="D2"/>
    </sheetView>
  </sheetViews>
  <sheetFormatPr defaultColWidth="9.109375" defaultRowHeight="12" x14ac:dyDescent="0.15"/>
  <cols>
    <col min="1" max="1" width="12" style="2" bestFit="1" customWidth="1"/>
    <col min="2" max="2" width="16.109375" style="2" bestFit="1" customWidth="1"/>
    <col min="3" max="16384" width="9.109375" style="1"/>
  </cols>
  <sheetData>
    <row r="1" spans="1:4" x14ac:dyDescent="0.15">
      <c r="A1" s="2" t="s">
        <v>4</v>
      </c>
      <c r="B1" s="2" t="s">
        <v>9</v>
      </c>
    </row>
    <row r="2" spans="1:4" x14ac:dyDescent="0.15">
      <c r="A2" s="2">
        <v>1</v>
      </c>
      <c r="B2" s="2">
        <v>1</v>
      </c>
      <c r="D2" s="1" t="str">
        <f>"insert into interno.operacion_titulo_rel values ('" &amp; A2 &amp; "','" &amp; B2 &amp; "');"</f>
        <v>insert into interno.operacion_titulo_rel values ('1','1');</v>
      </c>
    </row>
    <row r="3" spans="1:4" x14ac:dyDescent="0.15">
      <c r="A3" s="2">
        <v>2</v>
      </c>
      <c r="B3" s="2">
        <v>2</v>
      </c>
      <c r="D3" s="1" t="str">
        <f t="shared" ref="D3:D5" si="0">"insert into interno.operacion_titulo_rel values ('" &amp; A3 &amp; "','" &amp; B3 &amp; "');"</f>
        <v>insert into interno.operacion_titulo_rel values ('2','2');</v>
      </c>
    </row>
    <row r="4" spans="1:4" x14ac:dyDescent="0.15">
      <c r="A4" s="2">
        <v>3</v>
      </c>
      <c r="B4" s="2">
        <v>3</v>
      </c>
      <c r="D4" s="1" t="str">
        <f t="shared" si="0"/>
        <v>insert into interno.operacion_titulo_rel values ('3','3');</v>
      </c>
    </row>
    <row r="5" spans="1:4" x14ac:dyDescent="0.15">
      <c r="A5" s="2">
        <v>4</v>
      </c>
      <c r="B5" s="2">
        <v>4</v>
      </c>
      <c r="D5" s="1" t="str">
        <f t="shared" si="0"/>
        <v>insert into interno.operacion_titulo_rel values ('4','4');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B1A-57A0-46D5-9B53-67DF1C8A2140}">
  <dimension ref="A1:D3"/>
  <sheetViews>
    <sheetView workbookViewId="0">
      <selection activeCell="D2" sqref="D2:D3"/>
    </sheetView>
  </sheetViews>
  <sheetFormatPr defaultColWidth="9.109375" defaultRowHeight="12" x14ac:dyDescent="0.15"/>
  <cols>
    <col min="1" max="1" width="9.109375" style="1"/>
    <col min="2" max="2" width="30.6640625" style="1" bestFit="1" customWidth="1"/>
    <col min="3" max="16384" width="9.109375" style="1"/>
  </cols>
  <sheetData>
    <row r="1" spans="1:4" x14ac:dyDescent="0.15">
      <c r="A1" s="1" t="s">
        <v>0</v>
      </c>
      <c r="B1" s="1" t="s">
        <v>1</v>
      </c>
    </row>
    <row r="2" spans="1:4" x14ac:dyDescent="0.15">
      <c r="A2" s="1">
        <v>1</v>
      </c>
      <c r="B2" s="1" t="s">
        <v>10</v>
      </c>
      <c r="D2" s="1" t="str">
        <f>"insert into interno.tipo_deudor values ('" &amp; A2 &amp; "','" &amp; B2 &amp; "');"</f>
        <v>insert into interno.tipo_deudor values ('1','Deudor directo');</v>
      </c>
    </row>
    <row r="3" spans="1:4" x14ac:dyDescent="0.15">
      <c r="A3" s="1">
        <v>2</v>
      </c>
      <c r="B3" s="1" t="s">
        <v>11</v>
      </c>
      <c r="D3" s="1" t="str">
        <f>"insert into interno.tipo_deudor values ('" &amp; A3 &amp; "','" &amp; B3 &amp; "');"</f>
        <v>insert into interno.tipo_deudor values ('2','Deudor indirecto');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2810-ABCB-4CDB-A0AE-2F6DCF57C9F7}">
  <dimension ref="A1:D3"/>
  <sheetViews>
    <sheetView workbookViewId="0">
      <selection activeCell="D2" sqref="D2"/>
    </sheetView>
  </sheetViews>
  <sheetFormatPr defaultColWidth="9.109375" defaultRowHeight="12" x14ac:dyDescent="0.15"/>
  <cols>
    <col min="1" max="1" width="12" style="2" bestFit="1" customWidth="1"/>
    <col min="2" max="2" width="11" style="2" bestFit="1" customWidth="1"/>
    <col min="3" max="16384" width="9.109375" style="1"/>
  </cols>
  <sheetData>
    <row r="1" spans="1:4" x14ac:dyDescent="0.15">
      <c r="A1" s="2" t="s">
        <v>4</v>
      </c>
      <c r="B1" s="2" t="s">
        <v>12</v>
      </c>
    </row>
    <row r="2" spans="1:4" x14ac:dyDescent="0.15">
      <c r="A2" s="2">
        <v>1</v>
      </c>
      <c r="B2" s="2">
        <v>1</v>
      </c>
      <c r="D2" s="1" t="str">
        <f>"insert into interno.tipo_deudor_rel values ('" &amp; A2 &amp; "','" &amp; B2 &amp; "');"</f>
        <v>insert into interno.tipo_deudor_rel values ('1','1');</v>
      </c>
    </row>
    <row r="3" spans="1:4" x14ac:dyDescent="0.15">
      <c r="A3" s="2">
        <v>2</v>
      </c>
      <c r="B3" s="2">
        <v>2</v>
      </c>
      <c r="D3" s="1" t="str">
        <f>"insert into interno.tipo_deudor_rel values ('" &amp; A3 &amp; "','" &amp; B3 &amp; "');"</f>
        <v>insert into interno.tipo_deudor_rel values ('2','2');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F931-0537-450F-815C-E241E2648125}">
  <dimension ref="A1:D24"/>
  <sheetViews>
    <sheetView workbookViewId="0">
      <selection activeCell="D2" sqref="D2"/>
    </sheetView>
  </sheetViews>
  <sheetFormatPr defaultColWidth="9.109375" defaultRowHeight="12" x14ac:dyDescent="0.15"/>
  <cols>
    <col min="1" max="1" width="8.33203125" style="3" customWidth="1"/>
    <col min="2" max="2" width="34.6640625" style="4" customWidth="1"/>
    <col min="3" max="3" width="96" style="4" bestFit="1" customWidth="1"/>
    <col min="4" max="16384" width="9.109375" style="1"/>
  </cols>
  <sheetData>
    <row r="1" spans="1:4" x14ac:dyDescent="0.15">
      <c r="A1" s="3" t="s">
        <v>0</v>
      </c>
      <c r="B1" s="4" t="s">
        <v>13</v>
      </c>
      <c r="C1" s="4" t="s">
        <v>14</v>
      </c>
    </row>
    <row r="2" spans="1:4" x14ac:dyDescent="0.15">
      <c r="A2" s="3" t="s">
        <v>15</v>
      </c>
      <c r="B2" s="4" t="s">
        <v>16</v>
      </c>
      <c r="C2" s="4" t="s">
        <v>17</v>
      </c>
      <c r="D2" s="1" t="str">
        <f>"insert into interno.tabla_banco_126 values ('" &amp; A2 &amp; "','" &amp; B2 &amp; "');"</f>
        <v>insert into interno.tabla_banco_126 values ('01','Créditos comerciales');</v>
      </c>
    </row>
    <row r="3" spans="1:4" ht="48" x14ac:dyDescent="0.15">
      <c r="A3" s="3" t="s">
        <v>18</v>
      </c>
      <c r="B3" s="4" t="s">
        <v>19</v>
      </c>
      <c r="C3" s="4" t="s">
        <v>20</v>
      </c>
      <c r="D3" s="1" t="str">
        <f t="shared" ref="D3:D24" si="0">"insert into interno.tabla_banco_126 values ('" &amp; A3 &amp; "','" &amp; B3 &amp; "');"</f>
        <v>insert into interno.tabla_banco_126 values ('02','Créditos de consumo en cuotas');</v>
      </c>
    </row>
    <row r="4" spans="1:4" ht="24" x14ac:dyDescent="0.15">
      <c r="A4" s="3" t="s">
        <v>21</v>
      </c>
      <c r="B4" s="4" t="s">
        <v>22</v>
      </c>
      <c r="C4" s="4" t="s">
        <v>23</v>
      </c>
      <c r="D4" s="1" t="str">
        <f t="shared" si="0"/>
        <v>insert into interno.tabla_banco_126 values ('03','Créditos para estudios superiores Ley N°20.027');</v>
      </c>
    </row>
    <row r="5" spans="1:4" ht="24" x14ac:dyDescent="0.15">
      <c r="A5" s="3" t="s">
        <v>24</v>
      </c>
      <c r="B5" s="4" t="s">
        <v>25</v>
      </c>
      <c r="C5" s="4" t="s">
        <v>26</v>
      </c>
      <c r="D5" s="1" t="str">
        <f t="shared" si="0"/>
        <v>insert into interno.tabla_banco_126 values ('04','Créditos educacionales con garantía CORFO');</v>
      </c>
    </row>
    <row r="6" spans="1:4" ht="24" x14ac:dyDescent="0.15">
      <c r="A6" s="3" t="s">
        <v>27</v>
      </c>
      <c r="B6" s="4" t="s">
        <v>28</v>
      </c>
      <c r="C6" s="4" t="s">
        <v>29</v>
      </c>
      <c r="D6" s="1" t="str">
        <f t="shared" si="0"/>
        <v>insert into interno.tabla_banco_126 values ('05','Otros créditos para estudios superiores');</v>
      </c>
    </row>
    <row r="7" spans="1:4" ht="48" x14ac:dyDescent="0.15">
      <c r="A7" s="3" t="s">
        <v>30</v>
      </c>
      <c r="B7" s="4" t="s">
        <v>31</v>
      </c>
      <c r="C7" s="4" t="s">
        <v>32</v>
      </c>
      <c r="D7" s="1" t="str">
        <f t="shared" si="0"/>
        <v>insert into interno.tabla_banco_126 values ('06','Créditos para la salud');</v>
      </c>
    </row>
    <row r="8" spans="1:4" ht="36" x14ac:dyDescent="0.15">
      <c r="A8" s="3" t="s">
        <v>33</v>
      </c>
      <c r="B8" s="4" t="s">
        <v>34</v>
      </c>
      <c r="C8" s="4" t="s">
        <v>35</v>
      </c>
      <c r="D8" s="1" t="str">
        <f t="shared" si="0"/>
        <v>insert into interno.tabla_banco_126 values ('07','Créditos provenientes de la utilización de tarjetas de crédito');</v>
      </c>
    </row>
    <row r="9" spans="1:4" ht="24" x14ac:dyDescent="0.15">
      <c r="A9" s="3" t="s">
        <v>36</v>
      </c>
      <c r="B9" s="4" t="s">
        <v>37</v>
      </c>
      <c r="C9" s="4" t="s">
        <v>38</v>
      </c>
      <c r="D9" s="1" t="str">
        <f t="shared" si="0"/>
        <v>insert into interno.tabla_banco_126 values ('08','Créditos con líneas de crédito o sobregiros en cuentas corrientes');</v>
      </c>
    </row>
    <row r="10" spans="1:4" ht="24" x14ac:dyDescent="0.15">
      <c r="A10" s="3" t="s">
        <v>39</v>
      </c>
      <c r="B10" s="4" t="s">
        <v>40</v>
      </c>
      <c r="C10" s="4" t="s">
        <v>41</v>
      </c>
      <c r="D10" s="1" t="str">
        <f t="shared" si="0"/>
        <v>insert into interno.tabla_banco_126 values ('09','Otros créditos de consumo');</v>
      </c>
    </row>
    <row r="11" spans="1:4" ht="72" x14ac:dyDescent="0.15">
      <c r="A11" s="3" t="s">
        <v>42</v>
      </c>
      <c r="B11" s="4" t="s">
        <v>43</v>
      </c>
      <c r="C11" s="4" t="s">
        <v>44</v>
      </c>
      <c r="D11" s="1" t="str">
        <f t="shared" si="0"/>
        <v>insert into interno.tabla_banco_126 values ('10','Créditos para vivienda');</v>
      </c>
    </row>
    <row r="12" spans="1:4" x14ac:dyDescent="0.15">
      <c r="A12" s="3" t="s">
        <v>45</v>
      </c>
      <c r="B12" s="4" t="s">
        <v>46</v>
      </c>
      <c r="C12" s="4" t="s">
        <v>47</v>
      </c>
      <c r="D12" s="1" t="str">
        <f t="shared" si="0"/>
        <v>insert into interno.tabla_banco_126 values ('11','Operaciones financieras');</v>
      </c>
    </row>
    <row r="13" spans="1:4" ht="36" x14ac:dyDescent="0.15">
      <c r="A13" s="3" t="s">
        <v>48</v>
      </c>
      <c r="B13" s="4" t="s">
        <v>49</v>
      </c>
      <c r="C13" s="4" t="s">
        <v>50</v>
      </c>
      <c r="D13" s="1" t="str">
        <f t="shared" si="0"/>
        <v>insert into interno.tabla_banco_126 values ('12','Instrumentos de deuda adquiridos');</v>
      </c>
    </row>
    <row r="14" spans="1:4" ht="36" x14ac:dyDescent="0.15">
      <c r="A14" s="3" t="s">
        <v>51</v>
      </c>
      <c r="B14" s="4" t="s">
        <v>52</v>
      </c>
      <c r="C14" s="7" t="s">
        <v>59</v>
      </c>
      <c r="D14" s="1" t="str">
        <f t="shared" si="0"/>
        <v>insert into interno.tabla_banco_126 values ('13','Créditos comerciales subrogados por el pago de garantías estatales');</v>
      </c>
    </row>
    <row r="15" spans="1:4" ht="36" x14ac:dyDescent="0.15">
      <c r="A15" s="3" t="s">
        <v>53</v>
      </c>
      <c r="B15" s="4" t="s">
        <v>54</v>
      </c>
      <c r="C15" s="8"/>
      <c r="D15" s="1" t="str">
        <f t="shared" si="0"/>
        <v>insert into interno.tabla_banco_126 values ('14','Créditos de consumo subrogados por el pago de garantías estatales');</v>
      </c>
    </row>
    <row r="16" spans="1:4" ht="36" x14ac:dyDescent="0.15">
      <c r="A16" s="3" t="s">
        <v>55</v>
      </c>
      <c r="B16" s="4" t="s">
        <v>56</v>
      </c>
      <c r="C16" s="8"/>
      <c r="D16" s="1" t="str">
        <f t="shared" si="0"/>
        <v>insert into interno.tabla_banco_126 values ('15','Créditos para vivienda subrogados por el pago de garantías estatales');</v>
      </c>
    </row>
    <row r="17" spans="1:4" ht="24" x14ac:dyDescent="0.15">
      <c r="A17" s="3" t="s">
        <v>57</v>
      </c>
      <c r="B17" s="4" t="s">
        <v>58</v>
      </c>
      <c r="C17" s="8"/>
      <c r="D17" s="1" t="str">
        <f t="shared" si="0"/>
        <v>insert into interno.tabla_banco_126 values ('16','Otros créditos subrogados por el pago de garantías estatales');</v>
      </c>
    </row>
    <row r="18" spans="1:4" ht="36" x14ac:dyDescent="0.15">
      <c r="A18" s="3" t="s">
        <v>60</v>
      </c>
      <c r="B18" s="4" t="s">
        <v>61</v>
      </c>
      <c r="C18" s="4" t="s">
        <v>62</v>
      </c>
      <c r="D18" s="1" t="str">
        <f t="shared" si="0"/>
        <v>insert into interno.tabla_banco_126 values ('31','Leasing consumo');</v>
      </c>
    </row>
    <row r="19" spans="1:4" ht="36" x14ac:dyDescent="0.15">
      <c r="A19" s="3" t="s">
        <v>63</v>
      </c>
      <c r="B19" s="4" t="s">
        <v>64</v>
      </c>
      <c r="C19" s="4" t="s">
        <v>65</v>
      </c>
      <c r="D19" s="1" t="str">
        <f t="shared" si="0"/>
        <v>insert into interno.tabla_banco_126 values ('32','Leasing vivienda');</v>
      </c>
    </row>
    <row r="20" spans="1:4" ht="24" x14ac:dyDescent="0.15">
      <c r="A20" s="3" t="s">
        <v>66</v>
      </c>
      <c r="B20" s="4" t="s">
        <v>67</v>
      </c>
      <c r="C20" s="4" t="s">
        <v>68</v>
      </c>
      <c r="D20" s="1" t="str">
        <f t="shared" si="0"/>
        <v>insert into interno.tabla_banco_126 values ('33','Leasing comercial');</v>
      </c>
    </row>
    <row r="21" spans="1:4" ht="24" x14ac:dyDescent="0.15">
      <c r="A21" s="3" t="s">
        <v>69</v>
      </c>
      <c r="B21" s="4" t="s">
        <v>70</v>
      </c>
      <c r="C21" s="4" t="s">
        <v>71</v>
      </c>
      <c r="D21" s="1" t="str">
        <f t="shared" si="0"/>
        <v>insert into interno.tabla_banco_126 values ('41','Créditos contingentes');</v>
      </c>
    </row>
    <row r="22" spans="1:4" ht="48" x14ac:dyDescent="0.15">
      <c r="A22" s="3" t="s">
        <v>72</v>
      </c>
      <c r="B22" s="4" t="s">
        <v>73</v>
      </c>
      <c r="C22" s="4" t="s">
        <v>74</v>
      </c>
      <c r="D22" s="1" t="str">
        <f t="shared" si="0"/>
        <v>insert into interno.tabla_banco_126 values ('42','Cupos de líneas de crédito de libre disposición');</v>
      </c>
    </row>
    <row r="23" spans="1:4" ht="60" x14ac:dyDescent="0.15">
      <c r="A23" s="3" t="s">
        <v>75</v>
      </c>
      <c r="B23" s="4" t="s">
        <v>76</v>
      </c>
      <c r="C23" s="4" t="s">
        <v>77</v>
      </c>
      <c r="D23" s="1" t="str">
        <f t="shared" si="0"/>
        <v>insert into interno.tabla_banco_126 values ('43','Cupos de tarjetas de crédito');</v>
      </c>
    </row>
    <row r="24" spans="1:4" ht="24" x14ac:dyDescent="0.15">
      <c r="A24" s="3" t="s">
        <v>78</v>
      </c>
      <c r="B24" s="4" t="s">
        <v>79</v>
      </c>
      <c r="C24" s="4" t="s">
        <v>80</v>
      </c>
      <c r="D24" s="1" t="str">
        <f t="shared" si="0"/>
        <v>insert into interno.tabla_banco_126 values ('44','Créditos contingentes para estudios superiores');</v>
      </c>
    </row>
  </sheetData>
  <mergeCells count="1">
    <mergeCell ref="C14:C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CE83-1D7A-4410-8109-DCADC34523A1}">
  <dimension ref="A1:D24"/>
  <sheetViews>
    <sheetView tabSelected="1" workbookViewId="0">
      <selection activeCell="K9" sqref="K9"/>
    </sheetView>
  </sheetViews>
  <sheetFormatPr defaultColWidth="9.109375" defaultRowHeight="12" x14ac:dyDescent="0.15"/>
  <cols>
    <col min="1" max="1" width="12" style="5" bestFit="1" customWidth="1"/>
    <col min="2" max="2" width="15.109375" style="6" bestFit="1" customWidth="1"/>
    <col min="3" max="16384" width="9.109375" style="1"/>
  </cols>
  <sheetData>
    <row r="1" spans="1:4" ht="24" x14ac:dyDescent="0.15">
      <c r="A1" s="5" t="s">
        <v>4</v>
      </c>
      <c r="B1" s="6" t="s">
        <v>81</v>
      </c>
    </row>
    <row r="2" spans="1:4" x14ac:dyDescent="0.15">
      <c r="A2" s="5" t="s">
        <v>15</v>
      </c>
      <c r="B2" s="5" t="s">
        <v>15</v>
      </c>
      <c r="D2" s="1" t="str">
        <f>"insert into interno.tabla_banco_126_rel values ('" &amp; A2 &amp; "','" &amp; B2 &amp; "');"</f>
        <v>insert into interno.tabla_banco_126_rel values ('01','01');</v>
      </c>
    </row>
    <row r="3" spans="1:4" x14ac:dyDescent="0.15">
      <c r="A3" s="5" t="s">
        <v>18</v>
      </c>
      <c r="B3" s="5" t="s">
        <v>18</v>
      </c>
      <c r="D3" s="1" t="str">
        <f t="shared" ref="D3:D24" si="0">"insert into interno.tabla_banco_126_rel values ('" &amp; A3 &amp; "','" &amp; B3 &amp; "');"</f>
        <v>insert into interno.tabla_banco_126_rel values ('02','02');</v>
      </c>
    </row>
    <row r="4" spans="1:4" x14ac:dyDescent="0.15">
      <c r="A4" s="5" t="s">
        <v>21</v>
      </c>
      <c r="B4" s="5" t="s">
        <v>21</v>
      </c>
      <c r="D4" s="1" t="str">
        <f t="shared" si="0"/>
        <v>insert into interno.tabla_banco_126_rel values ('03','03');</v>
      </c>
    </row>
    <row r="5" spans="1:4" x14ac:dyDescent="0.15">
      <c r="A5" s="5" t="s">
        <v>24</v>
      </c>
      <c r="B5" s="5" t="s">
        <v>24</v>
      </c>
      <c r="D5" s="1" t="str">
        <f t="shared" si="0"/>
        <v>insert into interno.tabla_banco_126_rel values ('04','04');</v>
      </c>
    </row>
    <row r="6" spans="1:4" x14ac:dyDescent="0.15">
      <c r="A6" s="5" t="s">
        <v>27</v>
      </c>
      <c r="B6" s="5" t="s">
        <v>27</v>
      </c>
      <c r="D6" s="1" t="str">
        <f t="shared" si="0"/>
        <v>insert into interno.tabla_banco_126_rel values ('05','05');</v>
      </c>
    </row>
    <row r="7" spans="1:4" x14ac:dyDescent="0.15">
      <c r="A7" s="5" t="s">
        <v>30</v>
      </c>
      <c r="B7" s="5" t="s">
        <v>30</v>
      </c>
      <c r="D7" s="1" t="str">
        <f t="shared" si="0"/>
        <v>insert into interno.tabla_banco_126_rel values ('06','06');</v>
      </c>
    </row>
    <row r="8" spans="1:4" x14ac:dyDescent="0.15">
      <c r="A8" s="5" t="s">
        <v>33</v>
      </c>
      <c r="B8" s="5" t="s">
        <v>33</v>
      </c>
      <c r="D8" s="1" t="str">
        <f t="shared" si="0"/>
        <v>insert into interno.tabla_banco_126_rel values ('07','07');</v>
      </c>
    </row>
    <row r="9" spans="1:4" x14ac:dyDescent="0.15">
      <c r="A9" s="5" t="s">
        <v>36</v>
      </c>
      <c r="B9" s="5" t="s">
        <v>36</v>
      </c>
      <c r="D9" s="1" t="str">
        <f t="shared" si="0"/>
        <v>insert into interno.tabla_banco_126_rel values ('08','08');</v>
      </c>
    </row>
    <row r="10" spans="1:4" x14ac:dyDescent="0.15">
      <c r="A10" s="5" t="s">
        <v>39</v>
      </c>
      <c r="B10" s="5" t="s">
        <v>39</v>
      </c>
      <c r="D10" s="1" t="str">
        <f t="shared" si="0"/>
        <v>insert into interno.tabla_banco_126_rel values ('09','09');</v>
      </c>
    </row>
    <row r="11" spans="1:4" x14ac:dyDescent="0.15">
      <c r="A11" s="5" t="s">
        <v>42</v>
      </c>
      <c r="B11" s="5" t="s">
        <v>42</v>
      </c>
      <c r="D11" s="1" t="str">
        <f t="shared" si="0"/>
        <v>insert into interno.tabla_banco_126_rel values ('10','10');</v>
      </c>
    </row>
    <row r="12" spans="1:4" x14ac:dyDescent="0.15">
      <c r="A12" s="5" t="s">
        <v>45</v>
      </c>
      <c r="B12" s="5" t="s">
        <v>45</v>
      </c>
      <c r="D12" s="1" t="str">
        <f t="shared" si="0"/>
        <v>insert into interno.tabla_banco_126_rel values ('11','11');</v>
      </c>
    </row>
    <row r="13" spans="1:4" x14ac:dyDescent="0.15">
      <c r="A13" s="5" t="s">
        <v>48</v>
      </c>
      <c r="B13" s="5" t="s">
        <v>48</v>
      </c>
      <c r="D13" s="1" t="str">
        <f t="shared" si="0"/>
        <v>insert into interno.tabla_banco_126_rel values ('12','12');</v>
      </c>
    </row>
    <row r="14" spans="1:4" x14ac:dyDescent="0.15">
      <c r="A14" s="5" t="s">
        <v>51</v>
      </c>
      <c r="B14" s="5" t="s">
        <v>51</v>
      </c>
      <c r="D14" s="1" t="str">
        <f t="shared" si="0"/>
        <v>insert into interno.tabla_banco_126_rel values ('13','13');</v>
      </c>
    </row>
    <row r="15" spans="1:4" x14ac:dyDescent="0.15">
      <c r="A15" s="5" t="s">
        <v>53</v>
      </c>
      <c r="B15" s="5" t="s">
        <v>53</v>
      </c>
      <c r="D15" s="1" t="str">
        <f t="shared" si="0"/>
        <v>insert into interno.tabla_banco_126_rel values ('14','14');</v>
      </c>
    </row>
    <row r="16" spans="1:4" x14ac:dyDescent="0.15">
      <c r="A16" s="5" t="s">
        <v>55</v>
      </c>
      <c r="B16" s="5" t="s">
        <v>55</v>
      </c>
      <c r="D16" s="1" t="str">
        <f t="shared" si="0"/>
        <v>insert into interno.tabla_banco_126_rel values ('15','15');</v>
      </c>
    </row>
    <row r="17" spans="1:4" x14ac:dyDescent="0.15">
      <c r="A17" s="5" t="s">
        <v>57</v>
      </c>
      <c r="B17" s="5" t="s">
        <v>57</v>
      </c>
      <c r="D17" s="1" t="str">
        <f t="shared" si="0"/>
        <v>insert into interno.tabla_banco_126_rel values ('16','16');</v>
      </c>
    </row>
    <row r="18" spans="1:4" x14ac:dyDescent="0.15">
      <c r="A18" s="5" t="s">
        <v>60</v>
      </c>
      <c r="B18" s="5" t="s">
        <v>60</v>
      </c>
      <c r="D18" s="1" t="str">
        <f t="shared" si="0"/>
        <v>insert into interno.tabla_banco_126_rel values ('31','31');</v>
      </c>
    </row>
    <row r="19" spans="1:4" x14ac:dyDescent="0.15">
      <c r="A19" s="5" t="s">
        <v>63</v>
      </c>
      <c r="B19" s="5" t="s">
        <v>63</v>
      </c>
      <c r="D19" s="1" t="str">
        <f t="shared" si="0"/>
        <v>insert into interno.tabla_banco_126_rel values ('32','32');</v>
      </c>
    </row>
    <row r="20" spans="1:4" x14ac:dyDescent="0.15">
      <c r="A20" s="5" t="s">
        <v>66</v>
      </c>
      <c r="B20" s="5" t="s">
        <v>66</v>
      </c>
      <c r="D20" s="1" t="str">
        <f t="shared" si="0"/>
        <v>insert into interno.tabla_banco_126_rel values ('33','33');</v>
      </c>
    </row>
    <row r="21" spans="1:4" x14ac:dyDescent="0.15">
      <c r="A21" s="5" t="s">
        <v>69</v>
      </c>
      <c r="B21" s="5" t="s">
        <v>69</v>
      </c>
      <c r="D21" s="1" t="str">
        <f t="shared" si="0"/>
        <v>insert into interno.tabla_banco_126_rel values ('41','41');</v>
      </c>
    </row>
    <row r="22" spans="1:4" x14ac:dyDescent="0.15">
      <c r="A22" s="5" t="s">
        <v>72</v>
      </c>
      <c r="B22" s="5" t="s">
        <v>72</v>
      </c>
      <c r="D22" s="1" t="str">
        <f t="shared" si="0"/>
        <v>insert into interno.tabla_banco_126_rel values ('42','42');</v>
      </c>
    </row>
    <row r="23" spans="1:4" x14ac:dyDescent="0.15">
      <c r="A23" s="5" t="s">
        <v>75</v>
      </c>
      <c r="B23" s="5" t="s">
        <v>75</v>
      </c>
      <c r="D23" s="1" t="str">
        <f t="shared" si="0"/>
        <v>insert into interno.tabla_banco_126_rel values ('43','43');</v>
      </c>
    </row>
    <row r="24" spans="1:4" x14ac:dyDescent="0.15">
      <c r="A24" s="5" t="s">
        <v>78</v>
      </c>
      <c r="B24" s="5" t="s">
        <v>78</v>
      </c>
      <c r="D24" s="1" t="str">
        <f t="shared" si="0"/>
        <v>insert into interno.tabla_banco_126_rel values ('44','44');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tipo_persona</vt:lpstr>
      <vt:lpstr>tipo_persona_rel</vt:lpstr>
      <vt:lpstr>operacion_titulo</vt:lpstr>
      <vt:lpstr>operacion_titulo_rel</vt:lpstr>
      <vt:lpstr>tipo_deudor</vt:lpstr>
      <vt:lpstr>tipo_deudor_rel</vt:lpstr>
      <vt:lpstr>tabla_banco_126</vt:lpstr>
      <vt:lpstr>tabla_banco_126_rel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2025-10-30T15:32:27Z</dcterms:modified>
</cp:coreProperties>
</file>