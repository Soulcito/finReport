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78ec6eafe1d282b6/Felipe/Projects/CMF/finReport/Analisis/Tablas_internas/"/>
    </mc:Choice>
  </mc:AlternateContent>
  <xr:revisionPtr revIDLastSave="330" documentId="11_F25DC773A252ABDACC104864C11848EE5ADE58EC" xr6:coauthVersionLast="47" xr6:coauthVersionMax="47" xr10:uidLastSave="{3CA29ADE-4DBD-494D-B6E1-414884979060}"/>
  <bookViews>
    <workbookView xWindow="-15210" yWindow="-16320" windowWidth="29040" windowHeight="15720" tabRatio="751" firstSheet="11" activeTab="17" xr2:uid="{00000000-000D-0000-FFFF-FFFF00000000}"/>
  </bookViews>
  <sheets>
    <sheet name="tipo_persona" sheetId="1" r:id="rId1"/>
    <sheet name="tipo_persona_rel" sheetId="2" r:id="rId2"/>
    <sheet name="operacion_titulo" sheetId="4" r:id="rId3"/>
    <sheet name="operacion_titulo_rel" sheetId="5" r:id="rId4"/>
    <sheet name="tipo_deudor" sheetId="7" r:id="rId5"/>
    <sheet name="tipo_deudor_rel" sheetId="8" r:id="rId6"/>
    <sheet name="tabla_banco_126" sheetId="10" r:id="rId7"/>
    <sheet name="tabla_banco_126_rel" sheetId="11" r:id="rId8"/>
    <sheet name="tipo_flujo" sheetId="12" r:id="rId9"/>
    <sheet name="tipo_flujo_rel" sheetId="13" r:id="rId10"/>
    <sheet name="calendario_rdc20" sheetId="14" r:id="rId11"/>
    <sheet name="medio_consentimiento" sheetId="15" r:id="rId12"/>
    <sheet name="medio_consentimiento_rel" sheetId="16" r:id="rId13"/>
    <sheet name="finalidad_consentimiento" sheetId="17" r:id="rId14"/>
    <sheet name="finalidad_consentimiento_rel" sheetId="18" r:id="rId15"/>
    <sheet name="objetivo_consentimiento" sheetId="19" r:id="rId16"/>
    <sheet name="objetivo_consentimiento_rel" sheetId="20" r:id="rId17"/>
    <sheet name="feriados" sheetId="2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1" l="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11" i="10"/>
  <c r="D10" i="10"/>
  <c r="D9" i="10"/>
  <c r="D8" i="10"/>
  <c r="D7" i="10"/>
  <c r="D6" i="10"/>
  <c r="D5" i="10"/>
  <c r="D4" i="10"/>
  <c r="D3" i="10"/>
  <c r="D2" i="10"/>
  <c r="D3" i="8"/>
  <c r="D2" i="8"/>
  <c r="D3" i="7"/>
  <c r="D2" i="7"/>
  <c r="D5" i="5"/>
  <c r="D4" i="5"/>
  <c r="D3" i="5"/>
  <c r="D2" i="5"/>
  <c r="D5" i="4"/>
  <c r="D4" i="4"/>
  <c r="D3" i="4"/>
  <c r="D2" i="4"/>
  <c r="D3" i="2" l="1"/>
  <c r="D2" i="2"/>
  <c r="D3" i="1"/>
  <c r="D2" i="1"/>
</calcChain>
</file>

<file path=xl/sharedStrings.xml><?xml version="1.0" encoding="utf-8"?>
<sst xmlns="http://schemas.openxmlformats.org/spreadsheetml/2006/main" count="243" uniqueCount="108">
  <si>
    <t>cod</t>
  </si>
  <si>
    <t>descripcion</t>
  </si>
  <si>
    <t>Personal Natural</t>
  </si>
  <si>
    <t>Persona Juridica</t>
  </si>
  <si>
    <t>cod_entidad</t>
  </si>
  <si>
    <t>Si, deuda positiva</t>
  </si>
  <si>
    <t>Si, deuda negativa</t>
  </si>
  <si>
    <t>Si, deuda positiva y negativa</t>
  </si>
  <si>
    <t>No</t>
  </si>
  <si>
    <t>cod_operacional</t>
  </si>
  <si>
    <t>Deudor directo</t>
  </si>
  <si>
    <t>Deudor indirecto</t>
  </si>
  <si>
    <t>cod_deudor</t>
  </si>
  <si>
    <t>tipo_operacion</t>
  </si>
  <si>
    <t>definicion</t>
  </si>
  <si>
    <t>01</t>
  </si>
  <si>
    <t>Créditos comerciales</t>
  </si>
  <si>
    <t>Todos aquellos créditos que no corresponden a las operaciones que se indican a continuación.</t>
  </si>
  <si>
    <t>02</t>
  </si>
  <si>
    <t>Créditos de consumo en cuotas</t>
  </si>
  <si>
    <t>Comprende los créditos pagaderos en cuotas cuyos deudores son personas naturales y que se otorgan para financiar bienes de consumo o el pago de servicios. Comprende también créditos de consumo cuando posean una cuota pendiente. No corresponde a créditos por tarjetas de crédito (código 07) ni uso de líneas de crédito o sobregiro (código 08).</t>
  </si>
  <si>
    <t>03</t>
  </si>
  <si>
    <t>Créditos para estudios superiores Ley N°20.027</t>
  </si>
  <si>
    <t>Comprende aquellos concedidos para el financiamiento de estudios superiores otorgados de acuerdo con la Ley N°20.027 (CAE).</t>
  </si>
  <si>
    <t>04</t>
  </si>
  <si>
    <t>Créditos educacionales con garantía CORFO</t>
  </si>
  <si>
    <t>Corresponde a préstamos estudiantiles otorgados con algún tipo de garantía de CORFO.</t>
  </si>
  <si>
    <t>05</t>
  </si>
  <si>
    <t>Otros créditos para estudios superiores</t>
  </si>
  <si>
    <t>Comprende todos los demás créditos otorgados para el financiamiento de estudios superiores distintos a los de la Ley N° 20.027 y de aquellos con garantía CORFO.</t>
  </si>
  <si>
    <t>06</t>
  </si>
  <si>
    <t>Créditos para la salud</t>
  </si>
  <si>
    <t>Corresponde a deudas contraídas con prestadores de salud públicos o privados y empresas relacionadas, sean instituciones financieras, casas comerciales u otras similares, en el marco de una atención o acción de salud ambulatoria, hospitalaria o de emergencia sean éstas consultas, procedimientos, exámenes, programas, cirugías u operaciones.</t>
  </si>
  <si>
    <t>07</t>
  </si>
  <si>
    <t>Créditos provenientes de la utilización de tarjetas de crédito</t>
  </si>
  <si>
    <t>Comprende los créditos provenientes del uso de tarjetas de crédito cuyos deudores son personas naturales y que se otorgan para financiar bienes de consumo o el pago de servicios.</t>
  </si>
  <si>
    <t>08</t>
  </si>
  <si>
    <t>Créditos con líneas de crédito o sobregiros en cuentas corrientes</t>
  </si>
  <si>
    <t>Comprende los créditos provenientes del uso de líneas de crédito cuyos deudores son personas naturales y que se otorgan para financiar bienes de consumo o el pago de servicios.</t>
  </si>
  <si>
    <t>09</t>
  </si>
  <si>
    <t>Otros créditos de consumo</t>
  </si>
  <si>
    <t>Comprende los créditos cuyos deudores son personas naturales y que se otorgan para financiar bienes de consumo o el pago de servicios no informados en los códigos precedentes.</t>
  </si>
  <si>
    <t>10</t>
  </si>
  <si>
    <t>Créditos para vivienda</t>
  </si>
  <si>
    <t>Corresponde a créditos que se otorgan a personas naturales para adquisición, ampliación, reparación o construcción de su vivienda. Comprende los préstamos en letras de crédito, con mutuos hipotecarios endosables u otros con aquellas características. Incluye los créditos de enlace que se hubieren otorgado antes del perfeccionamiento de los mutuos y los créditos complementarios destinados a la adquisición, ampliación, reparación o construcción de la vivienda.</t>
  </si>
  <si>
    <t>11</t>
  </si>
  <si>
    <t>Operaciones financieras</t>
  </si>
  <si>
    <t>Corresponde a contratos con pacto de retroventa y obligaciones por préstamos de valores.</t>
  </si>
  <si>
    <t>12</t>
  </si>
  <si>
    <t>Instrumentos de deuda adquiridos</t>
  </si>
  <si>
    <t>Corresponde a las deudas de los emisores de los instrumentos que para efectos contables forman parte de la cartera de negociación, disponibles para la venta o inversiones al vencimiento.</t>
  </si>
  <si>
    <t>13</t>
  </si>
  <si>
    <t>Créditos comerciales subrogados por el pago de garantías estatales</t>
  </si>
  <si>
    <t>14</t>
  </si>
  <si>
    <t>Créditos de consumo subrogados por el pago de garantías estatales</t>
  </si>
  <si>
    <t>15</t>
  </si>
  <si>
    <t>Créditos para vivienda subrogados por el pago de garantías estatales</t>
  </si>
  <si>
    <t>16</t>
  </si>
  <si>
    <t>Otros créditos subrogados por el pago de garantías estatales</t>
  </si>
  <si>
    <t>Corresponde a la porción de aquellos créditos en que se hizo efectivo el pago de una garantía estatal (FOGAPE y FOGAES), debiendo ser informados los importes impagos correspondientes a la subrogación que se origina por tal motivo, cuando la institución financiera mantiene la responsabilidad de su cobranza. La fracción no garantizada se continúa informando con el código originalmente asignado.</t>
  </si>
  <si>
    <t>31</t>
  </si>
  <si>
    <t>Leasing consumo</t>
  </si>
  <si>
    <t>Obligaciones que a la fecha de la información mantienen los arrendatarios que hayan pactado operaciones de leasing con el reportante cuando este sea persona natural y no sea en relación a una vivienda.</t>
  </si>
  <si>
    <t>32</t>
  </si>
  <si>
    <t>Leasing vivienda</t>
  </si>
  <si>
    <t>Obligaciones que a la fecha de la información mantienen los arrendatarios que hayan pactado operaciones de leasing con el reportante cuando este sea persona natural sea en relación a una vivienda.</t>
  </si>
  <si>
    <t>33</t>
  </si>
  <si>
    <t>Leasing comercial</t>
  </si>
  <si>
    <t>Obligaciones que a la fecha de la información mantienen los arrendatarios que hayan pactado operaciones de leasing con el reportante cuando este no sea una persona natural.</t>
  </si>
  <si>
    <t>41</t>
  </si>
  <si>
    <t>Créditos contingentes</t>
  </si>
  <si>
    <t>Corresponde a los créditos contingentes con excepción de las líneas de crédito y otros contingentes que se informan con los códigos 42, 43 y 44.</t>
  </si>
  <si>
    <t>42</t>
  </si>
  <si>
    <t>Cupos de líneas de crédito de libre disposición</t>
  </si>
  <si>
    <t>Corresponde a los créditos aprobados que pueden ser utilizados por la sola voluntad del cliente como los sobregiros pactados en cuenta corriente. Se trata sólo del monto correspondiente a los importes no utilizados, en que la institución está contractualmente obligada a admitir el crédito.</t>
  </si>
  <si>
    <t>43</t>
  </si>
  <si>
    <t>Cupos de tarjetas de crédito</t>
  </si>
  <si>
    <t>Corresponde a los cupos disponibles para tarjetas de crédito. Se entiende que el cupo corresponde sólo al monto no utilizado, debiendo incluirse en consecuencia como créditos (de consumo o comerciales, según corresponda) los montos ya utilizados, sea que la entidad reportante haya pagado o no las operaciones efectuadas con la tarjeta a la fecha a que se refiere la información.</t>
  </si>
  <si>
    <t>44</t>
  </si>
  <si>
    <t>Créditos contingentes para estudios superiores</t>
  </si>
  <si>
    <t>Corresponde a los créditos contingentes asociados a préstamos educacionales de la Ley N°20.027 u otros que generen una obligación contingente.</t>
  </si>
  <si>
    <t>cod_obligacion</t>
  </si>
  <si>
    <t>cod_persona</t>
  </si>
  <si>
    <t>Amortización de capital</t>
  </si>
  <si>
    <t>Interés capitalizado</t>
  </si>
  <si>
    <t>Nuevos créditos</t>
  </si>
  <si>
    <t>Venta de cartera</t>
  </si>
  <si>
    <t>Compra de cartera</t>
  </si>
  <si>
    <t>Cesión de crédito del reportante a otra entidad</t>
  </si>
  <si>
    <t>Cesión de crédito adquirido por el reportante</t>
  </si>
  <si>
    <t>Prescripción sentenciada por Tribunal diferentes a un Procedimiento Concursal de Liquidación.</t>
  </si>
  <si>
    <t>Exclusión por obligación reportable que cumple cinco años en morosidad.</t>
  </si>
  <si>
    <t>Liquidación de la obligación por Procedimiento Concursal de Liquidación.</t>
  </si>
  <si>
    <t>cod_flujo</t>
  </si>
  <si>
    <t>Fecha</t>
  </si>
  <si>
    <t>1</t>
  </si>
  <si>
    <t>2</t>
  </si>
  <si>
    <t>3</t>
  </si>
  <si>
    <t>Electrónico</t>
  </si>
  <si>
    <t>Verbal (registro de audio)</t>
  </si>
  <si>
    <t>Físico (registro con respaldo físico)</t>
  </si>
  <si>
    <t>cod_consentimiento</t>
  </si>
  <si>
    <t>Evaluación de riesgo comercial</t>
  </si>
  <si>
    <t>Evaluación de riesgo crediticio</t>
  </si>
  <si>
    <t>cod_finalidad</t>
  </si>
  <si>
    <t>Créditos de consumo</t>
  </si>
  <si>
    <t>cod_objetivo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</si>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</sst>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SimSun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49" fontId="1" fillId="0" borderId="0" xfId="0" applyNumberFormat="1" applyFont="1"/>
    <xf numFmtId="49" fontId="1" fillId="0" borderId="0" xfId="0" applyNumberFormat="1" applyFont="1" applyAlignment="1">
      <alignment wrapText="1"/>
    </xf>
    <xf numFmtId="49" fontId="1" fillId="0" borderId="0" xfId="0" applyNumberFormat="1" applyFont="1" applyAlignment="1">
      <alignment horizontal="center" vertical="center"/>
    </xf>
    <xf numFmtId="49" fontId="1" fillId="0" borderId="0" xfId="0" applyNumberFormat="1" applyFont="1" applyAlignment="1">
      <alignment horizontal="center" vertical="center" wrapText="1"/>
    </xf>
    <xf numFmtId="49" fontId="1" fillId="2" borderId="0" xfId="0" applyNumberFormat="1" applyFont="1" applyFill="1"/>
    <xf numFmtId="49" fontId="1" fillId="2" borderId="0" xfId="0" applyNumberFormat="1" applyFont="1" applyFill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17.44140625" style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2</v>
      </c>
      <c r="D2" s="1" t="str">
        <f>"insert into interno.tipo_persona values ('" &amp; A2 &amp; "','" &amp; B2 &amp; "');"</f>
        <v>insert into interno.tipo_persona values ('1','Personal Natural');</v>
      </c>
    </row>
    <row r="3" spans="1:4" x14ac:dyDescent="0.15">
      <c r="A3" s="1">
        <v>2</v>
      </c>
      <c r="B3" s="1" t="s">
        <v>3</v>
      </c>
      <c r="D3" s="1" t="str">
        <f>"insert into interno.tipo_persona values ('" &amp; A3 &amp; "','" &amp; B3 &amp; "');"</f>
        <v>insert into interno.tipo_persona values ('2','Persona Juridica');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A7192-2074-4157-A266-76E347AEFB9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2.88671875" style="2" bestFit="1" customWidth="1"/>
    <col min="3" max="16384" width="9.109375" style="1"/>
  </cols>
  <sheetData>
    <row r="1" spans="1:4" x14ac:dyDescent="0.15">
      <c r="A1" s="2" t="s">
        <v>4</v>
      </c>
      <c r="B1" s="2" t="s">
        <v>82</v>
      </c>
    </row>
    <row r="2" spans="1:4" x14ac:dyDescent="0.15">
      <c r="A2" s="2">
        <v>1</v>
      </c>
      <c r="B2" s="2">
        <v>1</v>
      </c>
      <c r="D2" s="1" t="str">
        <f>"insert into interno.tipo_persona_rel values ('" &amp; A2 &amp; "','" &amp; B2 &amp; "');"</f>
        <v>insert into interno.tipo_persona_rel values ('1','1');</v>
      </c>
    </row>
    <row r="3" spans="1:4" x14ac:dyDescent="0.15">
      <c r="A3" s="2">
        <v>2</v>
      </c>
      <c r="B3" s="2">
        <v>2</v>
      </c>
      <c r="D3" s="1" t="str">
        <f>"insert into interno.tipo_persona_rel values ('" &amp; A3 &amp; "','" &amp; B3 &amp; "');"</f>
        <v>insert into interno.tipo_persona_rel values ('2','2');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21D4E-144C-43F7-A9C5-09CE307B183E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5</v>
      </c>
      <c r="D2" s="1" t="str">
        <f>"insert into interno.operacion_titulo values ('" &amp; A2 &amp; "','" &amp; B2 &amp; "');"</f>
        <v>insert into interno.operacion_titulo values ('1','Si, deuda positiva');</v>
      </c>
    </row>
    <row r="3" spans="1:4" x14ac:dyDescent="0.15">
      <c r="A3" s="1">
        <v>2</v>
      </c>
      <c r="B3" s="1" t="s">
        <v>6</v>
      </c>
      <c r="D3" s="1" t="str">
        <f>"insert into interno.operacion_titulo values ('" &amp; A3 &amp; "','" &amp; B3 &amp; "');"</f>
        <v>insert into interno.operacion_titulo values ('2','Si, deuda negativa');</v>
      </c>
    </row>
    <row r="4" spans="1:4" x14ac:dyDescent="0.15">
      <c r="A4" s="1">
        <v>3</v>
      </c>
      <c r="B4" s="1" t="s">
        <v>7</v>
      </c>
      <c r="D4" s="1" t="str">
        <f>"insert into interno.operacion_titulo values ('" &amp; A4 &amp; "','" &amp; B4 &amp; "');"</f>
        <v>insert into interno.operacion_titulo values ('3','Si, deuda positiva y negativa');</v>
      </c>
    </row>
    <row r="5" spans="1:4" x14ac:dyDescent="0.15">
      <c r="A5" s="1">
        <v>4</v>
      </c>
      <c r="B5" s="1" t="s">
        <v>8</v>
      </c>
      <c r="D5" s="1" t="str">
        <f>"insert into interno.operacion_titulo values ('" &amp; A5 &amp; "','" &amp; B5 &amp; "');"</f>
        <v>insert into interno.operacion_titulo values ('4','No');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CB60-EAA9-4D3A-8E30-15A3D6AD8B7F}">
  <dimension ref="A1:D5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6.109375" style="2" bestFit="1" customWidth="1"/>
    <col min="3" max="16384" width="9.109375" style="1"/>
  </cols>
  <sheetData>
    <row r="1" spans="1:4" x14ac:dyDescent="0.15">
      <c r="A1" s="2" t="s">
        <v>4</v>
      </c>
      <c r="B1" s="2" t="s">
        <v>9</v>
      </c>
    </row>
    <row r="2" spans="1:4" x14ac:dyDescent="0.15">
      <c r="A2" s="2">
        <v>1</v>
      </c>
      <c r="B2" s="2">
        <v>1</v>
      </c>
      <c r="D2" s="1" t="str">
        <f>"insert into interno.operacion_titulo_rel values ('" &amp; A2 &amp; "','" &amp; B2 &amp; "');"</f>
        <v>insert into interno.operacion_titulo_rel values ('1','1');</v>
      </c>
    </row>
    <row r="3" spans="1:4" x14ac:dyDescent="0.15">
      <c r="A3" s="2">
        <v>2</v>
      </c>
      <c r="B3" s="2">
        <v>2</v>
      </c>
      <c r="D3" s="1" t="str">
        <f t="shared" ref="D3:D5" si="0">"insert into interno.operacion_titulo_rel values ('" &amp; A3 &amp; "','" &amp; B3 &amp; "');"</f>
        <v>insert into interno.operacion_titulo_rel values ('2','2');</v>
      </c>
    </row>
    <row r="4" spans="1:4" x14ac:dyDescent="0.15">
      <c r="A4" s="2">
        <v>3</v>
      </c>
      <c r="B4" s="2">
        <v>3</v>
      </c>
      <c r="D4" s="1" t="str">
        <f t="shared" si="0"/>
        <v>insert into interno.operacion_titulo_rel values ('3','3');</v>
      </c>
    </row>
    <row r="5" spans="1:4" x14ac:dyDescent="0.15">
      <c r="A5" s="2">
        <v>4</v>
      </c>
      <c r="B5" s="2">
        <v>4</v>
      </c>
      <c r="D5" s="1" t="str">
        <f t="shared" si="0"/>
        <v>insert into interno.operacion_titulo_rel values ('4','4');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B7B1A-57A0-46D5-9B53-67DF1C8A2140}">
  <dimension ref="A1:D3"/>
  <sheetViews>
    <sheetView workbookViewId="0">
      <selection activeCell="B3" sqref="B3"/>
    </sheetView>
  </sheetViews>
  <sheetFormatPr defaultColWidth="9.109375" defaultRowHeight="12" x14ac:dyDescent="0.15"/>
  <cols>
    <col min="1" max="1" width="9.109375" style="1"/>
    <col min="2" max="2" width="30.6640625" style="1" bestFit="1" customWidth="1"/>
    <col min="3" max="16384" width="9.109375" style="1"/>
  </cols>
  <sheetData>
    <row r="1" spans="1:4" x14ac:dyDescent="0.15">
      <c r="A1" s="1" t="s">
        <v>0</v>
      </c>
      <c r="B1" s="1" t="s">
        <v>1</v>
      </c>
    </row>
    <row r="2" spans="1:4" x14ac:dyDescent="0.15">
      <c r="A2" s="1">
        <v>1</v>
      </c>
      <c r="B2" s="1" t="s">
        <v>10</v>
      </c>
      <c r="D2" s="1" t="str">
        <f>"insert into interno.tipo_deudor values ('" &amp; A2 &amp; "','" &amp; B2 &amp; "');"</f>
        <v>insert into interno.tipo_deudor values ('1','Deudor directo');</v>
      </c>
    </row>
    <row r="3" spans="1:4" x14ac:dyDescent="0.15">
      <c r="A3" s="1">
        <v>2</v>
      </c>
      <c r="B3" s="1" t="s">
        <v>11</v>
      </c>
      <c r="D3" s="1" t="str">
        <f>"insert into interno.tipo_deudor values ('" &amp; A3 &amp; "','" &amp; B3 &amp; "');"</f>
        <v>insert into interno.tipo_deudor values ('2','Deudor indirecto');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810-ABCB-4CDB-A0AE-2F6DCF57C9F7}">
  <dimension ref="A1:D3"/>
  <sheetViews>
    <sheetView workbookViewId="0">
      <selection activeCell="D2" sqref="D2"/>
    </sheetView>
  </sheetViews>
  <sheetFormatPr defaultColWidth="9.109375" defaultRowHeight="12" x14ac:dyDescent="0.15"/>
  <cols>
    <col min="1" max="1" width="12" style="2" bestFit="1" customWidth="1"/>
    <col min="2" max="2" width="11" style="2" bestFit="1" customWidth="1"/>
    <col min="3" max="16384" width="9.109375" style="1"/>
  </cols>
  <sheetData>
    <row r="1" spans="1:4" x14ac:dyDescent="0.15">
      <c r="A1" s="2" t="s">
        <v>4</v>
      </c>
      <c r="B1" s="2" t="s">
        <v>12</v>
      </c>
    </row>
    <row r="2" spans="1:4" x14ac:dyDescent="0.15">
      <c r="A2" s="2">
        <v>1</v>
      </c>
      <c r="B2" s="2">
        <v>1</v>
      </c>
      <c r="D2" s="1" t="str">
        <f>"insert into interno.tipo_deudor_rel values ('" &amp; A2 &amp; "','" &amp; B2 &amp; "');"</f>
        <v>insert into interno.tipo_deudor_rel values ('1','1');</v>
      </c>
    </row>
    <row r="3" spans="1:4" x14ac:dyDescent="0.15">
      <c r="A3" s="2">
        <v>2</v>
      </c>
      <c r="B3" s="2">
        <v>2</v>
      </c>
      <c r="D3" s="1" t="str">
        <f>"insert into interno.tipo_deudor_rel values ('" &amp; A3 &amp; "','" &amp; B3 &amp; "');"</f>
        <v>insert into interno.tipo_deudor_rel values ('2','2');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F931-0537-450F-815C-E241E2648125}">
  <dimension ref="A1:D24"/>
  <sheetViews>
    <sheetView topLeftCell="A14" workbookViewId="0">
      <selection activeCell="A23" sqref="A23:C24"/>
    </sheetView>
  </sheetViews>
  <sheetFormatPr defaultColWidth="9.109375" defaultRowHeight="12" x14ac:dyDescent="0.15"/>
  <cols>
    <col min="1" max="1" width="8.33203125" style="3" customWidth="1"/>
    <col min="2" max="2" width="34.6640625" style="4" customWidth="1"/>
    <col min="3" max="3" width="96" style="4" bestFit="1" customWidth="1"/>
    <col min="4" max="16384" width="9.109375" style="1"/>
  </cols>
  <sheetData>
    <row r="1" spans="1:4" x14ac:dyDescent="0.15">
      <c r="A1" s="3" t="s">
        <v>0</v>
      </c>
      <c r="B1" s="4" t="s">
        <v>13</v>
      </c>
      <c r="C1" s="4" t="s">
        <v>14</v>
      </c>
    </row>
    <row r="2" spans="1:4" x14ac:dyDescent="0.15">
      <c r="A2" s="3" t="s">
        <v>15</v>
      </c>
      <c r="B2" s="4" t="s">
        <v>16</v>
      </c>
      <c r="C2" s="4" t="s">
        <v>17</v>
      </c>
      <c r="D2" s="1" t="str">
        <f>"insert into interno.tabla_banco_126 values ('" &amp; A2 &amp; "','" &amp; B2 &amp; "');"</f>
        <v>insert into interno.tabla_banco_126 values ('01','Créditos comerciales');</v>
      </c>
    </row>
    <row r="3" spans="1:4" ht="48" x14ac:dyDescent="0.15">
      <c r="A3" s="3" t="s">
        <v>18</v>
      </c>
      <c r="B3" s="4" t="s">
        <v>19</v>
      </c>
      <c r="C3" s="4" t="s">
        <v>20</v>
      </c>
      <c r="D3" s="1" t="str">
        <f t="shared" ref="D3:D24" si="0">"insert into interno.tabla_banco_126 values ('" &amp; A3 &amp; "','" &amp; B3 &amp; "');"</f>
        <v>insert into interno.tabla_banco_126 values ('02','Créditos de consumo en cuotas');</v>
      </c>
    </row>
    <row r="4" spans="1:4" ht="24" x14ac:dyDescent="0.15">
      <c r="A4" s="3" t="s">
        <v>21</v>
      </c>
      <c r="B4" s="4" t="s">
        <v>22</v>
      </c>
      <c r="C4" s="4" t="s">
        <v>23</v>
      </c>
      <c r="D4" s="1" t="str">
        <f t="shared" si="0"/>
        <v>insert into interno.tabla_banco_126 values ('03','Créditos para estudios superiores Ley N°20.027');</v>
      </c>
    </row>
    <row r="5" spans="1:4" ht="24" x14ac:dyDescent="0.15">
      <c r="A5" s="3" t="s">
        <v>24</v>
      </c>
      <c r="B5" s="4" t="s">
        <v>25</v>
      </c>
      <c r="C5" s="4" t="s">
        <v>26</v>
      </c>
      <c r="D5" s="1" t="str">
        <f t="shared" si="0"/>
        <v>insert into interno.tabla_banco_126 values ('04','Créditos educacionales con garantía CORFO');</v>
      </c>
    </row>
    <row r="6" spans="1:4" ht="24" x14ac:dyDescent="0.15">
      <c r="A6" s="3" t="s">
        <v>27</v>
      </c>
      <c r="B6" s="4" t="s">
        <v>28</v>
      </c>
      <c r="C6" s="4" t="s">
        <v>29</v>
      </c>
      <c r="D6" s="1" t="str">
        <f t="shared" si="0"/>
        <v>insert into interno.tabla_banco_126 values ('05','Otros créditos para estudios superiores');</v>
      </c>
    </row>
    <row r="7" spans="1:4" ht="48" x14ac:dyDescent="0.15">
      <c r="A7" s="3" t="s">
        <v>30</v>
      </c>
      <c r="B7" s="4" t="s">
        <v>31</v>
      </c>
      <c r="C7" s="4" t="s">
        <v>32</v>
      </c>
      <c r="D7" s="1" t="str">
        <f t="shared" si="0"/>
        <v>insert into interno.tabla_banco_126 values ('06','Créditos para la salud');</v>
      </c>
    </row>
    <row r="8" spans="1:4" ht="36" x14ac:dyDescent="0.15">
      <c r="A8" s="7" t="s">
        <v>33</v>
      </c>
      <c r="B8" s="8" t="s">
        <v>34</v>
      </c>
      <c r="C8" s="4" t="s">
        <v>35</v>
      </c>
      <c r="D8" s="1" t="str">
        <f t="shared" si="0"/>
        <v>insert into interno.tabla_banco_126 values ('07','Créditos provenientes de la utilización de tarjetas de crédito');</v>
      </c>
    </row>
    <row r="9" spans="1:4" ht="24" x14ac:dyDescent="0.15">
      <c r="A9" s="7" t="s">
        <v>36</v>
      </c>
      <c r="B9" s="8" t="s">
        <v>37</v>
      </c>
      <c r="C9" s="4" t="s">
        <v>38</v>
      </c>
      <c r="D9" s="1" t="str">
        <f t="shared" si="0"/>
        <v>insert into interno.tabla_banco_126 values ('08','Créditos con líneas de crédito o sobregiros en cuentas corrientes');</v>
      </c>
    </row>
    <row r="10" spans="1:4" ht="24" x14ac:dyDescent="0.15">
      <c r="A10" s="3" t="s">
        <v>39</v>
      </c>
      <c r="B10" s="4" t="s">
        <v>40</v>
      </c>
      <c r="C10" s="4" t="s">
        <v>41</v>
      </c>
      <c r="D10" s="1" t="str">
        <f t="shared" si="0"/>
        <v>insert into interno.tabla_banco_126 values ('09','Otros créditos de consumo');</v>
      </c>
    </row>
    <row r="11" spans="1:4" ht="72" x14ac:dyDescent="0.15">
      <c r="A11" s="3" t="s">
        <v>42</v>
      </c>
      <c r="B11" s="4" t="s">
        <v>43</v>
      </c>
      <c r="C11" s="4" t="s">
        <v>44</v>
      </c>
      <c r="D11" s="1" t="str">
        <f t="shared" si="0"/>
        <v>insert into interno.tabla_banco_126 values ('10','Créditos para vivienda');</v>
      </c>
    </row>
    <row r="12" spans="1:4" x14ac:dyDescent="0.15">
      <c r="A12" s="3" t="s">
        <v>45</v>
      </c>
      <c r="B12" s="4" t="s">
        <v>46</v>
      </c>
      <c r="C12" s="4" t="s">
        <v>47</v>
      </c>
      <c r="D12" s="1" t="str">
        <f t="shared" si="0"/>
        <v>insert into interno.tabla_banco_126 values ('11','Operaciones financieras');</v>
      </c>
    </row>
    <row r="13" spans="1:4" ht="36" x14ac:dyDescent="0.15">
      <c r="A13" s="3" t="s">
        <v>48</v>
      </c>
      <c r="B13" s="4" t="s">
        <v>49</v>
      </c>
      <c r="C13" s="4" t="s">
        <v>50</v>
      </c>
      <c r="D13" s="1" t="str">
        <f t="shared" si="0"/>
        <v>insert into interno.tabla_banco_126 values ('12','Instrumentos de deuda adquiridos');</v>
      </c>
    </row>
    <row r="14" spans="1:4" ht="36" x14ac:dyDescent="0.15">
      <c r="A14" s="3" t="s">
        <v>51</v>
      </c>
      <c r="B14" s="4" t="s">
        <v>52</v>
      </c>
      <c r="C14" s="10" t="s">
        <v>59</v>
      </c>
      <c r="D14" s="1" t="str">
        <f t="shared" si="0"/>
        <v>insert into interno.tabla_banco_126 values ('13','Créditos comerciales subrogados por el pago de garantías estatales');</v>
      </c>
    </row>
    <row r="15" spans="1:4" ht="36" x14ac:dyDescent="0.15">
      <c r="A15" s="3" t="s">
        <v>53</v>
      </c>
      <c r="B15" s="4" t="s">
        <v>54</v>
      </c>
      <c r="C15" s="11"/>
      <c r="D15" s="1" t="str">
        <f t="shared" si="0"/>
        <v>insert into interno.tabla_banco_126 values ('14','Créditos de consumo subrogados por el pago de garantías estatales');</v>
      </c>
    </row>
    <row r="16" spans="1:4" ht="36" x14ac:dyDescent="0.15">
      <c r="A16" s="3" t="s">
        <v>55</v>
      </c>
      <c r="B16" s="4" t="s">
        <v>56</v>
      </c>
      <c r="C16" s="11"/>
      <c r="D16" s="1" t="str">
        <f t="shared" si="0"/>
        <v>insert into interno.tabla_banco_126 values ('15','Créditos para vivienda subrogados por el pago de garantías estatales');</v>
      </c>
    </row>
    <row r="17" spans="1:4" ht="24" x14ac:dyDescent="0.15">
      <c r="A17" s="3" t="s">
        <v>57</v>
      </c>
      <c r="B17" s="4" t="s">
        <v>58</v>
      </c>
      <c r="C17" s="11"/>
      <c r="D17" s="1" t="str">
        <f t="shared" si="0"/>
        <v>insert into interno.tabla_banco_126 values ('16','Otros créditos subrogados por el pago de garantías estatales');</v>
      </c>
    </row>
    <row r="18" spans="1:4" ht="36" x14ac:dyDescent="0.15">
      <c r="A18" s="3" t="s">
        <v>60</v>
      </c>
      <c r="B18" s="4" t="s">
        <v>61</v>
      </c>
      <c r="C18" s="4" t="s">
        <v>62</v>
      </c>
      <c r="D18" s="1" t="str">
        <f t="shared" si="0"/>
        <v>insert into interno.tabla_banco_126 values ('31','Leasing consumo');</v>
      </c>
    </row>
    <row r="19" spans="1:4" ht="36" x14ac:dyDescent="0.15">
      <c r="A19" s="3" t="s">
        <v>63</v>
      </c>
      <c r="B19" s="4" t="s">
        <v>64</v>
      </c>
      <c r="C19" s="4" t="s">
        <v>65</v>
      </c>
      <c r="D19" s="1" t="str">
        <f t="shared" si="0"/>
        <v>insert into interno.tabla_banco_126 values ('32','Leasing vivienda');</v>
      </c>
    </row>
    <row r="20" spans="1:4" ht="24" x14ac:dyDescent="0.15">
      <c r="A20" s="3" t="s">
        <v>66</v>
      </c>
      <c r="B20" s="4" t="s">
        <v>67</v>
      </c>
      <c r="C20" s="4" t="s">
        <v>68</v>
      </c>
      <c r="D20" s="1" t="str">
        <f t="shared" si="0"/>
        <v>insert into interno.tabla_banco_126 values ('33','Leasing comercial');</v>
      </c>
    </row>
    <row r="21" spans="1:4" ht="24" x14ac:dyDescent="0.15">
      <c r="A21" s="3" t="s">
        <v>69</v>
      </c>
      <c r="B21" s="4" t="s">
        <v>70</v>
      </c>
      <c r="C21" s="4" t="s">
        <v>71</v>
      </c>
      <c r="D21" s="1" t="str">
        <f t="shared" si="0"/>
        <v>insert into interno.tabla_banco_126 values ('41','Créditos contingentes');</v>
      </c>
    </row>
    <row r="22" spans="1:4" ht="48" x14ac:dyDescent="0.15">
      <c r="A22" s="3" t="s">
        <v>72</v>
      </c>
      <c r="B22" s="4" t="s">
        <v>73</v>
      </c>
      <c r="C22" s="4" t="s">
        <v>74</v>
      </c>
      <c r="D22" s="1" t="str">
        <f t="shared" si="0"/>
        <v>insert into interno.tabla_banco_126 values ('42','Cupos de líneas de crédito de libre disposición');</v>
      </c>
    </row>
    <row r="23" spans="1:4" ht="60" x14ac:dyDescent="0.15">
      <c r="A23" s="3" t="s">
        <v>75</v>
      </c>
      <c r="B23" s="4" t="s">
        <v>76</v>
      </c>
      <c r="C23" s="4" t="s">
        <v>77</v>
      </c>
      <c r="D23" s="1" t="str">
        <f t="shared" si="0"/>
        <v>insert into interno.tabla_banco_126 values ('43','Cupos de tarjetas de crédito');</v>
      </c>
    </row>
    <row r="24" spans="1:4" ht="24" x14ac:dyDescent="0.15">
      <c r="A24" s="3" t="s">
        <v>78</v>
      </c>
      <c r="B24" s="4" t="s">
        <v>79</v>
      </c>
      <c r="C24" s="4" t="s">
        <v>80</v>
      </c>
      <c r="D24" s="1" t="str">
        <f t="shared" si="0"/>
        <v>insert into interno.tabla_banco_126 values ('44','Créditos contingentes para estudios superiores');</v>
      </c>
    </row>
  </sheetData>
  <mergeCells count="1">
    <mergeCell ref="C14:C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CCE83-1D7A-4410-8109-DCADC34523A1}">
  <dimension ref="A1:D24"/>
  <sheetViews>
    <sheetView workbookViewId="0">
      <selection activeCell="K9" sqref="K9"/>
    </sheetView>
  </sheetViews>
  <sheetFormatPr defaultColWidth="9.109375" defaultRowHeight="12" x14ac:dyDescent="0.15"/>
  <cols>
    <col min="1" max="1" width="12" style="5" bestFit="1" customWidth="1"/>
    <col min="2" max="2" width="15.109375" style="6" bestFit="1" customWidth="1"/>
    <col min="3" max="16384" width="9.109375" style="1"/>
  </cols>
  <sheetData>
    <row r="1" spans="1:4" ht="24" x14ac:dyDescent="0.15">
      <c r="A1" s="5" t="s">
        <v>4</v>
      </c>
      <c r="B1" s="6" t="s">
        <v>81</v>
      </c>
    </row>
    <row r="2" spans="1:4" x14ac:dyDescent="0.15">
      <c r="A2" s="5" t="s">
        <v>15</v>
      </c>
      <c r="B2" s="5" t="s">
        <v>15</v>
      </c>
      <c r="D2" s="1" t="str">
        <f>"insert into interno.tabla_banco_126_rel values ('" &amp; A2 &amp; "','" &amp; B2 &amp; "');"</f>
        <v>insert into interno.tabla_banco_126_rel values ('01','01');</v>
      </c>
    </row>
    <row r="3" spans="1:4" x14ac:dyDescent="0.15">
      <c r="A3" s="5" t="s">
        <v>18</v>
      </c>
      <c r="B3" s="5" t="s">
        <v>18</v>
      </c>
      <c r="D3" s="1" t="str">
        <f t="shared" ref="D3:D24" si="0">"insert into interno.tabla_banco_126_rel values ('" &amp; A3 &amp; "','" &amp; B3 &amp; "');"</f>
        <v>insert into interno.tabla_banco_126_rel values ('02','02');</v>
      </c>
    </row>
    <row r="4" spans="1:4" x14ac:dyDescent="0.15">
      <c r="A4" s="5" t="s">
        <v>21</v>
      </c>
      <c r="B4" s="5" t="s">
        <v>21</v>
      </c>
      <c r="D4" s="1" t="str">
        <f t="shared" si="0"/>
        <v>insert into interno.tabla_banco_126_rel values ('03','03');</v>
      </c>
    </row>
    <row r="5" spans="1:4" x14ac:dyDescent="0.15">
      <c r="A5" s="5" t="s">
        <v>24</v>
      </c>
      <c r="B5" s="5" t="s">
        <v>24</v>
      </c>
      <c r="D5" s="1" t="str">
        <f t="shared" si="0"/>
        <v>insert into interno.tabla_banco_126_rel values ('04','04');</v>
      </c>
    </row>
    <row r="6" spans="1:4" x14ac:dyDescent="0.15">
      <c r="A6" s="5" t="s">
        <v>27</v>
      </c>
      <c r="B6" s="5" t="s">
        <v>27</v>
      </c>
      <c r="D6" s="1" t="str">
        <f t="shared" si="0"/>
        <v>insert into interno.tabla_banco_126_rel values ('05','05');</v>
      </c>
    </row>
    <row r="7" spans="1:4" x14ac:dyDescent="0.15">
      <c r="A7" s="5" t="s">
        <v>30</v>
      </c>
      <c r="B7" s="5" t="s">
        <v>30</v>
      </c>
      <c r="D7" s="1" t="str">
        <f t="shared" si="0"/>
        <v>insert into interno.tabla_banco_126_rel values ('06','06');</v>
      </c>
    </row>
    <row r="8" spans="1:4" x14ac:dyDescent="0.15">
      <c r="A8" s="5" t="s">
        <v>33</v>
      </c>
      <c r="B8" s="5" t="s">
        <v>33</v>
      </c>
      <c r="D8" s="1" t="str">
        <f t="shared" si="0"/>
        <v>insert into interno.tabla_banco_126_rel values ('07','07');</v>
      </c>
    </row>
    <row r="9" spans="1:4" x14ac:dyDescent="0.15">
      <c r="A9" s="5" t="s">
        <v>36</v>
      </c>
      <c r="B9" s="5" t="s">
        <v>36</v>
      </c>
      <c r="D9" s="1" t="str">
        <f t="shared" si="0"/>
        <v>insert into interno.tabla_banco_126_rel values ('08','08');</v>
      </c>
    </row>
    <row r="10" spans="1:4" x14ac:dyDescent="0.15">
      <c r="A10" s="5" t="s">
        <v>39</v>
      </c>
      <c r="B10" s="5" t="s">
        <v>39</v>
      </c>
      <c r="D10" s="1" t="str">
        <f t="shared" si="0"/>
        <v>insert into interno.tabla_banco_126_rel values ('09','09');</v>
      </c>
    </row>
    <row r="11" spans="1:4" x14ac:dyDescent="0.15">
      <c r="A11" s="5" t="s">
        <v>42</v>
      </c>
      <c r="B11" s="5" t="s">
        <v>42</v>
      </c>
      <c r="D11" s="1" t="str">
        <f t="shared" si="0"/>
        <v>insert into interno.tabla_banco_126_rel values ('10','10');</v>
      </c>
    </row>
    <row r="12" spans="1:4" x14ac:dyDescent="0.15">
      <c r="A12" s="5" t="s">
        <v>45</v>
      </c>
      <c r="B12" s="5" t="s">
        <v>45</v>
      </c>
      <c r="D12" s="1" t="str">
        <f t="shared" si="0"/>
        <v>insert into interno.tabla_banco_126_rel values ('11','11');</v>
      </c>
    </row>
    <row r="13" spans="1:4" x14ac:dyDescent="0.15">
      <c r="A13" s="5" t="s">
        <v>48</v>
      </c>
      <c r="B13" s="5" t="s">
        <v>48</v>
      </c>
      <c r="D13" s="1" t="str">
        <f t="shared" si="0"/>
        <v>insert into interno.tabla_banco_126_rel values ('12','12');</v>
      </c>
    </row>
    <row r="14" spans="1:4" x14ac:dyDescent="0.15">
      <c r="A14" s="5" t="s">
        <v>51</v>
      </c>
      <c r="B14" s="5" t="s">
        <v>51</v>
      </c>
      <c r="D14" s="1" t="str">
        <f t="shared" si="0"/>
        <v>insert into interno.tabla_banco_126_rel values ('13','13');</v>
      </c>
    </row>
    <row r="15" spans="1:4" x14ac:dyDescent="0.15">
      <c r="A15" s="5" t="s">
        <v>53</v>
      </c>
      <c r="B15" s="5" t="s">
        <v>53</v>
      </c>
      <c r="D15" s="1" t="str">
        <f t="shared" si="0"/>
        <v>insert into interno.tabla_banco_126_rel values ('14','14');</v>
      </c>
    </row>
    <row r="16" spans="1:4" x14ac:dyDescent="0.15">
      <c r="A16" s="5" t="s">
        <v>55</v>
      </c>
      <c r="B16" s="5" t="s">
        <v>55</v>
      </c>
      <c r="D16" s="1" t="str">
        <f t="shared" si="0"/>
        <v>insert into interno.tabla_banco_126_rel values ('15','15');</v>
      </c>
    </row>
    <row r="17" spans="1:4" x14ac:dyDescent="0.15">
      <c r="A17" s="5" t="s">
        <v>57</v>
      </c>
      <c r="B17" s="5" t="s">
        <v>57</v>
      </c>
      <c r="D17" s="1" t="str">
        <f t="shared" si="0"/>
        <v>insert into interno.tabla_banco_126_rel values ('16','16');</v>
      </c>
    </row>
    <row r="18" spans="1:4" x14ac:dyDescent="0.15">
      <c r="A18" s="5" t="s">
        <v>60</v>
      </c>
      <c r="B18" s="5" t="s">
        <v>60</v>
      </c>
      <c r="D18" s="1" t="str">
        <f t="shared" si="0"/>
        <v>insert into interno.tabla_banco_126_rel values ('31','31');</v>
      </c>
    </row>
    <row r="19" spans="1:4" x14ac:dyDescent="0.15">
      <c r="A19" s="5" t="s">
        <v>63</v>
      </c>
      <c r="B19" s="5" t="s">
        <v>63</v>
      </c>
      <c r="D19" s="1" t="str">
        <f t="shared" si="0"/>
        <v>insert into interno.tabla_banco_126_rel values ('32','32');</v>
      </c>
    </row>
    <row r="20" spans="1:4" x14ac:dyDescent="0.15">
      <c r="A20" s="5" t="s">
        <v>66</v>
      </c>
      <c r="B20" s="5" t="s">
        <v>66</v>
      </c>
      <c r="D20" s="1" t="str">
        <f t="shared" si="0"/>
        <v>insert into interno.tabla_banco_126_rel values ('33','33');</v>
      </c>
    </row>
    <row r="21" spans="1:4" x14ac:dyDescent="0.15">
      <c r="A21" s="5" t="s">
        <v>69</v>
      </c>
      <c r="B21" s="5" t="s">
        <v>69</v>
      </c>
      <c r="D21" s="1" t="str">
        <f t="shared" si="0"/>
        <v>insert into interno.tabla_banco_126_rel values ('41','41');</v>
      </c>
    </row>
    <row r="22" spans="1:4" x14ac:dyDescent="0.15">
      <c r="A22" s="5" t="s">
        <v>72</v>
      </c>
      <c r="B22" s="5" t="s">
        <v>72</v>
      </c>
      <c r="D22" s="1" t="str">
        <f t="shared" si="0"/>
        <v>insert into interno.tabla_banco_126_rel values ('42','42');</v>
      </c>
    </row>
    <row r="23" spans="1:4" x14ac:dyDescent="0.15">
      <c r="A23" s="5" t="s">
        <v>75</v>
      </c>
      <c r="B23" s="5" t="s">
        <v>75</v>
      </c>
      <c r="D23" s="1" t="str">
        <f t="shared" si="0"/>
        <v>insert into interno.tabla_banco_126_rel values ('43','43');</v>
      </c>
    </row>
    <row r="24" spans="1:4" x14ac:dyDescent="0.15">
      <c r="A24" s="5" t="s">
        <v>78</v>
      </c>
      <c r="B24" s="5" t="s">
        <v>78</v>
      </c>
      <c r="D24" s="1" t="str">
        <f t="shared" si="0"/>
        <v>insert into interno.tabla_banco_126_rel values ('44','44');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87387-6147-4C1D-98FC-617052F9D2A6}">
  <dimension ref="A1:B11"/>
  <sheetViews>
    <sheetView workbookViewId="0">
      <selection sqref="A1:B1"/>
    </sheetView>
  </sheetViews>
  <sheetFormatPr defaultRowHeight="14.4" x14ac:dyDescent="0.3"/>
  <cols>
    <col min="2" max="2" width="84.5546875" bestFit="1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3" t="s">
        <v>15</v>
      </c>
      <c r="B2" s="3" t="s">
        <v>83</v>
      </c>
    </row>
    <row r="3" spans="1:2" x14ac:dyDescent="0.3">
      <c r="A3" s="3" t="s">
        <v>18</v>
      </c>
      <c r="B3" s="3" t="s">
        <v>84</v>
      </c>
    </row>
    <row r="4" spans="1:2" x14ac:dyDescent="0.3">
      <c r="A4" s="9" t="s">
        <v>21</v>
      </c>
      <c r="B4" s="9" t="s">
        <v>85</v>
      </c>
    </row>
    <row r="5" spans="1:2" x14ac:dyDescent="0.3">
      <c r="A5" s="9" t="s">
        <v>24</v>
      </c>
      <c r="B5" s="9" t="s">
        <v>86</v>
      </c>
    </row>
    <row r="6" spans="1:2" x14ac:dyDescent="0.3">
      <c r="A6" s="9" t="s">
        <v>27</v>
      </c>
      <c r="B6" s="9" t="s">
        <v>87</v>
      </c>
    </row>
    <row r="7" spans="1:2" x14ac:dyDescent="0.3">
      <c r="A7" s="9" t="s">
        <v>30</v>
      </c>
      <c r="B7" s="9" t="s">
        <v>88</v>
      </c>
    </row>
    <row r="8" spans="1:2" x14ac:dyDescent="0.3">
      <c r="A8" s="9" t="s">
        <v>33</v>
      </c>
      <c r="B8" s="9" t="s">
        <v>89</v>
      </c>
    </row>
    <row r="9" spans="1:2" x14ac:dyDescent="0.3">
      <c r="A9" s="9" t="s">
        <v>36</v>
      </c>
      <c r="B9" s="9" t="s">
        <v>90</v>
      </c>
    </row>
    <row r="10" spans="1:2" x14ac:dyDescent="0.3">
      <c r="A10" s="9" t="s">
        <v>39</v>
      </c>
      <c r="B10" s="9" t="s">
        <v>91</v>
      </c>
    </row>
    <row r="11" spans="1:2" x14ac:dyDescent="0.3">
      <c r="A11" s="9" t="s">
        <v>42</v>
      </c>
      <c r="B11" s="9" t="s">
        <v>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836A2-F5CD-45F9-A4E3-1AFA7F6B7EBF}">
  <dimension ref="A1:B11"/>
  <sheetViews>
    <sheetView workbookViewId="0">
      <selection activeCell="B12" sqref="B12"/>
    </sheetView>
  </sheetViews>
  <sheetFormatPr defaultRowHeight="14.4" x14ac:dyDescent="0.3"/>
  <cols>
    <col min="1" max="1" width="12" bestFit="1" customWidth="1"/>
    <col min="2" max="2" width="10" bestFit="1" customWidth="1"/>
  </cols>
  <sheetData>
    <row r="1" spans="1:2" x14ac:dyDescent="0.3">
      <c r="A1" s="5" t="s">
        <v>4</v>
      </c>
      <c r="B1" s="5" t="s">
        <v>93</v>
      </c>
    </row>
    <row r="2" spans="1:2" x14ac:dyDescent="0.3">
      <c r="A2" s="3" t="s">
        <v>15</v>
      </c>
      <c r="B2" s="3" t="s">
        <v>15</v>
      </c>
    </row>
    <row r="3" spans="1:2" x14ac:dyDescent="0.3">
      <c r="A3" s="3" t="s">
        <v>18</v>
      </c>
      <c r="B3" s="3" t="s">
        <v>18</v>
      </c>
    </row>
    <row r="4" spans="1:2" x14ac:dyDescent="0.3">
      <c r="A4" s="9" t="s">
        <v>21</v>
      </c>
      <c r="B4" s="9" t="s">
        <v>21</v>
      </c>
    </row>
    <row r="5" spans="1:2" x14ac:dyDescent="0.3">
      <c r="A5" s="9" t="s">
        <v>24</v>
      </c>
      <c r="B5" s="9" t="s">
        <v>24</v>
      </c>
    </row>
    <row r="6" spans="1:2" x14ac:dyDescent="0.3">
      <c r="A6" s="9" t="s">
        <v>27</v>
      </c>
      <c r="B6" s="9" t="s">
        <v>27</v>
      </c>
    </row>
    <row r="7" spans="1:2" x14ac:dyDescent="0.3">
      <c r="A7" s="9" t="s">
        <v>30</v>
      </c>
      <c r="B7" s="9" t="s">
        <v>30</v>
      </c>
    </row>
    <row r="8" spans="1:2" x14ac:dyDescent="0.3">
      <c r="A8" s="9" t="s">
        <v>33</v>
      </c>
      <c r="B8" s="9" t="s">
        <v>33</v>
      </c>
    </row>
    <row r="9" spans="1:2" x14ac:dyDescent="0.3">
      <c r="A9" s="9" t="s">
        <v>36</v>
      </c>
      <c r="B9" s="9" t="s">
        <v>36</v>
      </c>
    </row>
    <row r="10" spans="1:2" x14ac:dyDescent="0.3">
      <c r="A10" s="9" t="s">
        <v>39</v>
      </c>
      <c r="B10" s="9" t="s">
        <v>39</v>
      </c>
    </row>
    <row r="11" spans="1:2" x14ac:dyDescent="0.3">
      <c r="A11" s="9" t="s">
        <v>42</v>
      </c>
      <c r="B11" s="9" t="s">
        <v>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E2E9-231D-4770-8C7B-DAD4199627D4}">
  <dimension ref="A1:A2"/>
  <sheetViews>
    <sheetView workbookViewId="0">
      <selection activeCell="F5" sqref="F5"/>
    </sheetView>
  </sheetViews>
  <sheetFormatPr defaultRowHeight="14.4" x14ac:dyDescent="0.3"/>
  <cols>
    <col min="1" max="1" width="9" bestFit="1" customWidth="1"/>
  </cols>
  <sheetData>
    <row r="1" spans="1:1" x14ac:dyDescent="0.3">
      <c r="A1" t="s">
        <v>94</v>
      </c>
    </row>
    <row r="2" spans="1:1" x14ac:dyDescent="0.3">
      <c r="A2">
        <v>20251107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82382-03D4-48F5-B4CC-2F346705CD71}">
  <dimension ref="A1:B4"/>
  <sheetViews>
    <sheetView workbookViewId="0">
      <selection sqref="A1:B4"/>
    </sheetView>
  </sheetViews>
  <sheetFormatPr defaultRowHeight="14.4" x14ac:dyDescent="0.3"/>
  <cols>
    <col min="1" max="1" width="4" style="9" bestFit="1" customWidth="1"/>
    <col min="2" max="2" width="31.109375" style="9" bestFit="1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95</v>
      </c>
      <c r="B2" s="9" t="s">
        <v>98</v>
      </c>
    </row>
    <row r="3" spans="1:2" x14ac:dyDescent="0.3">
      <c r="A3" s="9" t="s">
        <v>96</v>
      </c>
      <c r="B3" s="9" t="s">
        <v>99</v>
      </c>
    </row>
    <row r="4" spans="1:2" x14ac:dyDescent="0.3">
      <c r="A4" s="9" t="s">
        <v>97</v>
      </c>
      <c r="B4" s="9" t="s">
        <v>100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CD25-BF44-457C-89E0-DBC5179632D8}">
  <dimension ref="A1:B4"/>
  <sheetViews>
    <sheetView workbookViewId="0">
      <selection activeCell="I21" sqref="I21"/>
    </sheetView>
  </sheetViews>
  <sheetFormatPr defaultRowHeight="14.4" x14ac:dyDescent="0.3"/>
  <cols>
    <col min="1" max="1" width="12" style="9" bestFit="1" customWidth="1"/>
    <col min="2" max="2" width="19.21875" style="9" bestFit="1" customWidth="1"/>
  </cols>
  <sheetData>
    <row r="1" spans="1:2" x14ac:dyDescent="0.3">
      <c r="A1" s="5" t="s">
        <v>4</v>
      </c>
      <c r="B1" s="5" t="s">
        <v>101</v>
      </c>
    </row>
    <row r="2" spans="1:2" x14ac:dyDescent="0.3">
      <c r="A2" s="9" t="s">
        <v>95</v>
      </c>
      <c r="B2" s="9" t="s">
        <v>95</v>
      </c>
    </row>
    <row r="3" spans="1:2" x14ac:dyDescent="0.3">
      <c r="A3" s="9" t="s">
        <v>96</v>
      </c>
      <c r="B3" s="9" t="s">
        <v>96</v>
      </c>
    </row>
    <row r="4" spans="1:2" x14ac:dyDescent="0.3">
      <c r="A4" s="9" t="s">
        <v>97</v>
      </c>
      <c r="B4" s="9" t="s">
        <v>97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95A7C-3EB2-4F1F-85AF-8CF884C886AD}">
  <dimension ref="A1:B3"/>
  <sheetViews>
    <sheetView workbookViewId="0">
      <selection sqref="A1:B3"/>
    </sheetView>
  </sheetViews>
  <sheetFormatPr defaultRowHeight="14.4" x14ac:dyDescent="0.3"/>
  <cols>
    <col min="1" max="1" width="8.88671875" style="9"/>
    <col min="2" max="2" width="49.5546875" style="9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95</v>
      </c>
      <c r="B2" s="9" t="s">
        <v>102</v>
      </c>
    </row>
    <row r="3" spans="1:2" x14ac:dyDescent="0.3">
      <c r="A3" s="9" t="s">
        <v>96</v>
      </c>
      <c r="B3" s="9" t="s">
        <v>103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CDF1-E562-45A6-83EC-1620D59A2828}">
  <dimension ref="A1:B3"/>
  <sheetViews>
    <sheetView workbookViewId="0">
      <selection activeCell="P26" sqref="P26"/>
    </sheetView>
  </sheetViews>
  <sheetFormatPr defaultRowHeight="14.4" x14ac:dyDescent="0.3"/>
  <cols>
    <col min="1" max="1" width="12" style="9" bestFit="1" customWidth="1"/>
    <col min="2" max="2" width="19.21875" style="9" bestFit="1" customWidth="1"/>
  </cols>
  <sheetData>
    <row r="1" spans="1:2" x14ac:dyDescent="0.3">
      <c r="A1" s="5" t="s">
        <v>4</v>
      </c>
      <c r="B1" s="5" t="s">
        <v>104</v>
      </c>
    </row>
    <row r="2" spans="1:2" x14ac:dyDescent="0.3">
      <c r="A2" s="9" t="s">
        <v>95</v>
      </c>
      <c r="B2" s="9" t="s">
        <v>95</v>
      </c>
    </row>
    <row r="3" spans="1:2" x14ac:dyDescent="0.3">
      <c r="A3" s="9" t="s">
        <v>96</v>
      </c>
      <c r="B3" s="9" t="s">
        <v>96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060C4-EFDA-45FA-91EC-9C81843C7822}">
  <dimension ref="A1:B8"/>
  <sheetViews>
    <sheetView workbookViewId="0">
      <selection activeCell="G24" sqref="G24"/>
    </sheetView>
  </sheetViews>
  <sheetFormatPr defaultRowHeight="14.4" x14ac:dyDescent="0.3"/>
  <cols>
    <col min="1" max="1" width="8.88671875" style="9"/>
    <col min="2" max="2" width="43.88671875" style="9" customWidth="1"/>
  </cols>
  <sheetData>
    <row r="1" spans="1:2" x14ac:dyDescent="0.3">
      <c r="A1" s="3" t="s">
        <v>0</v>
      </c>
      <c r="B1" s="3" t="s">
        <v>1</v>
      </c>
    </row>
    <row r="2" spans="1:2" x14ac:dyDescent="0.3">
      <c r="A2" s="9" t="s">
        <v>15</v>
      </c>
      <c r="B2" s="9" t="s">
        <v>16</v>
      </c>
    </row>
    <row r="3" spans="1:2" x14ac:dyDescent="0.3">
      <c r="A3" s="9" t="s">
        <v>18</v>
      </c>
      <c r="B3" s="9" t="s">
        <v>105</v>
      </c>
    </row>
    <row r="4" spans="1:2" x14ac:dyDescent="0.3">
      <c r="A4" s="9" t="s">
        <v>21</v>
      </c>
      <c r="B4" s="9" t="s">
        <v>43</v>
      </c>
    </row>
    <row r="5" spans="1:2" x14ac:dyDescent="0.3">
      <c r="A5" s="9" t="s">
        <v>24</v>
      </c>
      <c r="B5" s="9" t="s">
        <v>46</v>
      </c>
    </row>
    <row r="6" spans="1:2" x14ac:dyDescent="0.3">
      <c r="A6" s="9" t="s">
        <v>27</v>
      </c>
      <c r="B6" s="9" t="s">
        <v>49</v>
      </c>
    </row>
    <row r="7" spans="1:2" x14ac:dyDescent="0.3">
      <c r="A7" s="9" t="s">
        <v>30</v>
      </c>
      <c r="B7" s="9" t="s">
        <v>70</v>
      </c>
    </row>
    <row r="8" spans="1:2" x14ac:dyDescent="0.3">
      <c r="A8" s="9" t="s">
        <v>33</v>
      </c>
      <c r="B8" s="9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EC85B-3021-4E01-AC10-91B0D64950B1}">
  <dimension ref="A1:B8"/>
  <sheetViews>
    <sheetView workbookViewId="0">
      <selection activeCell="F7" sqref="F7"/>
    </sheetView>
  </sheetViews>
  <sheetFormatPr defaultRowHeight="14.4" x14ac:dyDescent="0.3"/>
  <cols>
    <col min="1" max="1" width="12" style="9" bestFit="1" customWidth="1"/>
    <col min="2" max="2" width="13.109375" style="9" bestFit="1" customWidth="1"/>
  </cols>
  <sheetData>
    <row r="1" spans="1:2" x14ac:dyDescent="0.3">
      <c r="A1" s="5" t="s">
        <v>4</v>
      </c>
      <c r="B1" s="5" t="s">
        <v>106</v>
      </c>
    </row>
    <row r="2" spans="1:2" x14ac:dyDescent="0.3">
      <c r="A2" s="9" t="s">
        <v>15</v>
      </c>
      <c r="B2" s="9" t="s">
        <v>15</v>
      </c>
    </row>
    <row r="3" spans="1:2" x14ac:dyDescent="0.3">
      <c r="A3" s="9" t="s">
        <v>18</v>
      </c>
      <c r="B3" s="9" t="s">
        <v>18</v>
      </c>
    </row>
    <row r="4" spans="1:2" x14ac:dyDescent="0.3">
      <c r="A4" s="9" t="s">
        <v>21</v>
      </c>
      <c r="B4" s="9" t="s">
        <v>21</v>
      </c>
    </row>
    <row r="5" spans="1:2" x14ac:dyDescent="0.3">
      <c r="A5" s="9" t="s">
        <v>24</v>
      </c>
      <c r="B5" s="9" t="s">
        <v>24</v>
      </c>
    </row>
    <row r="6" spans="1:2" x14ac:dyDescent="0.3">
      <c r="A6" s="9" t="s">
        <v>27</v>
      </c>
      <c r="B6" s="9" t="s">
        <v>27</v>
      </c>
    </row>
    <row r="7" spans="1:2" x14ac:dyDescent="0.3">
      <c r="A7" s="9" t="s">
        <v>30</v>
      </c>
      <c r="B7" s="9" t="s">
        <v>30</v>
      </c>
    </row>
    <row r="8" spans="1:2" x14ac:dyDescent="0.3">
      <c r="A8" s="9" t="s">
        <v>33</v>
      </c>
      <c r="B8" s="9" t="s">
        <v>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5A8C2-2C51-4DA5-91F9-2363DF086C4A}">
  <dimension ref="A1:A17"/>
  <sheetViews>
    <sheetView tabSelected="1" workbookViewId="0">
      <selection activeCell="N18" sqref="N18"/>
    </sheetView>
  </sheetViews>
  <sheetFormatPr defaultRowHeight="14.4" x14ac:dyDescent="0.3"/>
  <cols>
    <col min="1" max="1" width="9" bestFit="1" customWidth="1"/>
  </cols>
  <sheetData>
    <row r="1" spans="1:1" x14ac:dyDescent="0.3">
      <c r="A1" t="s">
        <v>107</v>
      </c>
    </row>
    <row r="2" spans="1:1" x14ac:dyDescent="0.3">
      <c r="A2">
        <v>20260101</v>
      </c>
    </row>
    <row r="3" spans="1:1" x14ac:dyDescent="0.3">
      <c r="A3">
        <v>20260403</v>
      </c>
    </row>
    <row r="4" spans="1:1" x14ac:dyDescent="0.3">
      <c r="A4">
        <v>20260404</v>
      </c>
    </row>
    <row r="5" spans="1:1" x14ac:dyDescent="0.3">
      <c r="A5">
        <v>20260501</v>
      </c>
    </row>
    <row r="6" spans="1:1" x14ac:dyDescent="0.3">
      <c r="A6">
        <v>20260521</v>
      </c>
    </row>
    <row r="7" spans="1:1" x14ac:dyDescent="0.3">
      <c r="A7">
        <v>20260621</v>
      </c>
    </row>
    <row r="8" spans="1:1" x14ac:dyDescent="0.3">
      <c r="A8">
        <v>20260629</v>
      </c>
    </row>
    <row r="9" spans="1:1" x14ac:dyDescent="0.3">
      <c r="A9">
        <v>20260716</v>
      </c>
    </row>
    <row r="10" spans="1:1" x14ac:dyDescent="0.3">
      <c r="A10">
        <v>20260815</v>
      </c>
    </row>
    <row r="11" spans="1:1" x14ac:dyDescent="0.3">
      <c r="A11">
        <v>20260918</v>
      </c>
    </row>
    <row r="12" spans="1:1" x14ac:dyDescent="0.3">
      <c r="A12">
        <v>20260919</v>
      </c>
    </row>
    <row r="13" spans="1:1" x14ac:dyDescent="0.3">
      <c r="A13">
        <v>20261012</v>
      </c>
    </row>
    <row r="14" spans="1:1" x14ac:dyDescent="0.3">
      <c r="A14">
        <v>20261031</v>
      </c>
    </row>
    <row r="15" spans="1:1" x14ac:dyDescent="0.3">
      <c r="A15">
        <v>20261101</v>
      </c>
    </row>
    <row r="16" spans="1:1" x14ac:dyDescent="0.3">
      <c r="A16">
        <v>20261208</v>
      </c>
    </row>
    <row r="17" spans="1:1" x14ac:dyDescent="0.3">
      <c r="A17">
        <v>20261225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tipo_persona</vt:lpstr>
      <vt:lpstr>tipo_persona_rel</vt:lpstr>
      <vt:lpstr>operacion_titulo</vt:lpstr>
      <vt:lpstr>operacion_titulo_rel</vt:lpstr>
      <vt:lpstr>tipo_deudor</vt:lpstr>
      <vt:lpstr>tipo_deudor_rel</vt:lpstr>
      <vt:lpstr>tabla_banco_126</vt:lpstr>
      <vt:lpstr>tabla_banco_126_rel</vt:lpstr>
      <vt:lpstr>tipo_flujo</vt:lpstr>
      <vt:lpstr>tipo_flujo_rel</vt:lpstr>
      <vt:lpstr>calendario_rdc20</vt:lpstr>
      <vt:lpstr>medio_consentimiento</vt:lpstr>
      <vt:lpstr>medio_consentimiento_rel</vt:lpstr>
      <vt:lpstr>finalidad_consentimiento</vt:lpstr>
      <vt:lpstr>finalidad_consentimiento_rel</vt:lpstr>
      <vt:lpstr>objetivo_consentimiento</vt:lpstr>
      <vt:lpstr>objetivo_consentimiento_rel</vt:lpstr>
      <vt:lpstr>feriados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Hinojosa</dc:creator>
  <cp:lastModifiedBy>Felipe Hinojosa</cp:lastModifiedBy>
  <dcterms:created xsi:type="dcterms:W3CDTF">2015-06-05T18:17:20Z</dcterms:created>
  <dcterms:modified xsi:type="dcterms:W3CDTF">2026-02-22T16:40:39Z</dcterms:modified>
</cp:coreProperties>
</file>