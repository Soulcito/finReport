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Analisis/validaciones/"/>
    </mc:Choice>
  </mc:AlternateContent>
  <xr:revisionPtr revIDLastSave="1266" documentId="13_ncr:1_{C3BC911C-CB85-46EA-967D-51D15C7D4CB1}" xr6:coauthVersionLast="47" xr6:coauthVersionMax="47" xr10:uidLastSave="{62C69727-3D56-49EB-AC59-3E8FC1D69109}"/>
  <bookViews>
    <workbookView xWindow="-15210" yWindow="-16320" windowWidth="29040" windowHeight="15720" firstSheet="2" activeTab="6" xr2:uid="{00000000-000D-0000-FFFF-FFFF00000000}"/>
  </bookViews>
  <sheets>
    <sheet name="diccionario_validador" sheetId="1" r:id="rId1"/>
    <sheet name="QA RDC20 Salida buena" sheetId="2" r:id="rId2"/>
    <sheet name="QA RDC20 Salida mala" sheetId="3" r:id="rId3"/>
    <sheet name="QA RDC20 Salida mala (2)" sheetId="4" r:id="rId4"/>
    <sheet name="QA RDC20 Salida mala (3)" sheetId="7" r:id="rId5"/>
    <sheet name="QA RDC01 Salida buena" sheetId="8" r:id="rId6"/>
    <sheet name="QA RDC01 Salida mala" sheetId="9" r:id="rId7"/>
  </sheets>
  <definedNames>
    <definedName name="_xlnm._FilterDatabase" localSheetId="0" hidden="1">diccionario_validador!$A$1:$H$41</definedName>
    <definedName name="_xlnm._FilterDatabase" localSheetId="6" hidden="1">'QA RDC01 Salida mala'!$A$19:$E$44</definedName>
    <definedName name="_xlnm._FilterDatabase" localSheetId="2" hidden="1">'QA RDC20 Salida mala'!$A$32:$E$72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9" l="1"/>
  <c r="AF16" i="9" s="1"/>
  <c r="N2" i="9"/>
  <c r="R2" i="9"/>
  <c r="I2" i="9"/>
  <c r="AE15" i="9"/>
  <c r="AF15" i="9" s="1"/>
  <c r="AE14" i="9"/>
  <c r="AF14" i="9" s="1"/>
  <c r="AE13" i="9"/>
  <c r="AF13" i="9" s="1"/>
  <c r="AE12" i="9"/>
  <c r="AF12" i="9" s="1"/>
  <c r="AE11" i="9"/>
  <c r="AF11" i="9" s="1"/>
  <c r="AE10" i="9"/>
  <c r="AF10" i="9" s="1"/>
  <c r="AE9" i="9"/>
  <c r="AF9" i="9" s="1"/>
  <c r="AE8" i="9"/>
  <c r="AF8" i="9" s="1"/>
  <c r="AE7" i="9"/>
  <c r="AF7" i="9" s="1"/>
  <c r="AE6" i="9"/>
  <c r="AF6" i="9" s="1"/>
  <c r="AE5" i="9"/>
  <c r="AF5" i="9" s="1"/>
  <c r="AF4" i="9"/>
  <c r="AE15" i="8"/>
  <c r="AF15" i="8" s="1"/>
  <c r="AF4" i="8"/>
  <c r="AE14" i="8"/>
  <c r="AF14" i="8" s="1"/>
  <c r="AE13" i="8"/>
  <c r="AF13" i="8" s="1"/>
  <c r="AE12" i="8"/>
  <c r="AF12" i="8" s="1"/>
  <c r="AE11" i="8"/>
  <c r="AF11" i="8" s="1"/>
  <c r="AE10" i="8"/>
  <c r="AF10" i="8" s="1"/>
  <c r="AE9" i="8"/>
  <c r="AF9" i="8" s="1"/>
  <c r="AE8" i="8"/>
  <c r="AF8" i="8" s="1"/>
  <c r="AE7" i="8"/>
  <c r="AF7" i="8" s="1"/>
  <c r="AE6" i="8"/>
  <c r="AF6" i="8" s="1"/>
  <c r="AE5" i="8"/>
  <c r="AF5" i="8" s="1"/>
  <c r="H4" i="7"/>
  <c r="J21" i="7"/>
  <c r="J20" i="7"/>
  <c r="J17" i="7"/>
  <c r="J16" i="7"/>
  <c r="J13" i="7"/>
  <c r="J12" i="7"/>
  <c r="J10" i="7"/>
  <c r="J9" i="7"/>
  <c r="J8" i="7"/>
  <c r="J7" i="7"/>
  <c r="J6" i="7"/>
  <c r="J5" i="7"/>
  <c r="H4" i="4"/>
  <c r="J18" i="4"/>
  <c r="J19" i="4"/>
  <c r="J29" i="4"/>
  <c r="J23" i="4"/>
  <c r="J22" i="4"/>
  <c r="J16" i="4"/>
  <c r="J15" i="4"/>
  <c r="J14" i="4"/>
  <c r="J13" i="4"/>
  <c r="J12" i="4"/>
  <c r="J11" i="4"/>
  <c r="J10" i="4"/>
  <c r="J9" i="4"/>
  <c r="J8" i="4"/>
  <c r="J7" i="4"/>
  <c r="J6" i="4"/>
  <c r="J5" i="4"/>
  <c r="J29" i="3"/>
  <c r="H4" i="3"/>
  <c r="J27" i="3"/>
  <c r="J26" i="3"/>
  <c r="J23" i="3"/>
  <c r="J22" i="3"/>
  <c r="J19" i="3"/>
  <c r="J18" i="3"/>
  <c r="J16" i="3"/>
  <c r="J15" i="3"/>
  <c r="J14" i="3"/>
  <c r="J13" i="3"/>
  <c r="J12" i="3"/>
  <c r="J11" i="3"/>
  <c r="J10" i="3"/>
  <c r="J9" i="3"/>
  <c r="J8" i="3"/>
  <c r="J7" i="3"/>
  <c r="J6" i="3"/>
  <c r="J5" i="3"/>
  <c r="J24" i="2"/>
  <c r="J23" i="2"/>
  <c r="J20" i="2"/>
  <c r="J19" i="2"/>
  <c r="J16" i="2"/>
  <c r="J15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<sst xmlns="http://schemas.openxmlformats.org/spreadsheetml/2006/main" count="2151" uniqueCount="263">
  <si>
    <t>num_validador</t>
  </si>
  <si>
    <t>descripcion</t>
  </si>
  <si>
    <t>tipo</t>
  </si>
  <si>
    <t>archivo</t>
  </si>
  <si>
    <t>1</t>
  </si>
  <si>
    <t>Generico</t>
  </si>
  <si>
    <t>No aplica</t>
  </si>
  <si>
    <t>2</t>
  </si>
  <si>
    <t>Identificacion del archivo no corresponde</t>
  </si>
  <si>
    <t>3</t>
  </si>
  <si>
    <t>Largo del registro no corresponde</t>
  </si>
  <si>
    <t>RUT informado es invalido</t>
  </si>
  <si>
    <t>4</t>
  </si>
  <si>
    <t>Tipo de persona informado no corresponde</t>
  </si>
  <si>
    <t>Puntual</t>
  </si>
  <si>
    <t>5</t>
  </si>
  <si>
    <t>RDC01</t>
  </si>
  <si>
    <t>6</t>
  </si>
  <si>
    <t>Operacion Titulo III reportado no corresponde</t>
  </si>
  <si>
    <t>7</t>
  </si>
  <si>
    <t>8</t>
  </si>
  <si>
    <t>Tipo de obligacion reportado no corresponde a tabla 126</t>
  </si>
  <si>
    <t>9</t>
  </si>
  <si>
    <t>Fecha reportada no corresponde al formato YYYYMMDD</t>
  </si>
  <si>
    <t>10</t>
  </si>
  <si>
    <t>Campo reportado debe ser numerico y rellenado con 0 a la izquierda</t>
  </si>
  <si>
    <t>Campo con signo no corresponde, signo debe ir al final</t>
  </si>
  <si>
    <t>11</t>
  </si>
  <si>
    <t>12</t>
  </si>
  <si>
    <t>Deuda renegociada reportada no corresponde</t>
  </si>
  <si>
    <t>Codigo de la institucion no corresponde</t>
  </si>
  <si>
    <t>Tipo deudor reportado no corresponde</t>
  </si>
  <si>
    <t>13</t>
  </si>
  <si>
    <t>Deuda acelerada reportada no corresponde</t>
  </si>
  <si>
    <t>Explicacion</t>
  </si>
  <si>
    <t>Valida los primeros 10 caracteres del primer registro y lo compara con el dato registrado en el mantenedor parametros generales</t>
  </si>
  <si>
    <t>Valida que el identificador del archivo en el primer registro sea del archivo que se esta validando</t>
  </si>
  <si>
    <t>Valida que el largo del archivo corresponda a lo definido en el MSI</t>
  </si>
  <si>
    <t>Se valida que el RUT sea un rut valido chileno</t>
  </si>
  <si>
    <t>Corresponde a validar el dato que solicita RDC01 para el campo Tipo de persona</t>
  </si>
  <si>
    <t>Corresponde a validar el dato que solicita RDC01 para el campo Operacion Titulo III</t>
  </si>
  <si>
    <t>Corresponde a validar el dato que solicita RDC01 para el campo Tipo de deudor</t>
  </si>
  <si>
    <t>Corresponde a validar el dato si corresponde a la tabla 126 del MSI de Bancos</t>
  </si>
  <si>
    <t>Corresponde a validar si el dato reportado como fecha es valido.</t>
  </si>
  <si>
    <t>Corresponde a validar si el campo es de tipo numerico que posea solo numeros y no caracteres no numericos o especiales.</t>
  </si>
  <si>
    <t>Corresponde a validar que lo informado como dato, el ultimo caracter debe ser "+" o "-" y los otros caracteres numericos de la izquierda numericos.</t>
  </si>
  <si>
    <t>Corresponde a validar el dato que solicita RDC01 para el campo Deuda Renegociada</t>
  </si>
  <si>
    <t>Corresponde a validar el dato que solicita RDC01 para el campo Deuda Acelerada</t>
  </si>
  <si>
    <t>Funcion/Procedimiento</t>
  </si>
  <si>
    <t>proceso.val_num_1</t>
  </si>
  <si>
    <t>proceso.val_num_2</t>
  </si>
  <si>
    <t>proceso.val_num_3</t>
  </si>
  <si>
    <t>proceso.val_num_9</t>
  </si>
  <si>
    <t>proceso.val_num_4</t>
  </si>
  <si>
    <t>proceso.val_codigo_tabla</t>
  </si>
  <si>
    <t>proceso.val_num_10</t>
  </si>
  <si>
    <t>proceso.val_num_11</t>
  </si>
  <si>
    <t>proceso.val_en_dominio</t>
  </si>
  <si>
    <t>14</t>
  </si>
  <si>
    <t>Tipo de registro no corresponde</t>
  </si>
  <si>
    <t>15</t>
  </si>
  <si>
    <t>Tipo de flujo informado no corresponde</t>
  </si>
  <si>
    <t>RDC20</t>
  </si>
  <si>
    <t>Corresponde a validar si los tipos de registros corresponden a lo solicitado</t>
  </si>
  <si>
    <t>Corresponde a validar el dato que solicita RDC20 para el campo tipo de flujo</t>
  </si>
  <si>
    <t>16</t>
  </si>
  <si>
    <t>proceso.val_num_16</t>
  </si>
  <si>
    <t>Filler debe ser completado con espacios y tener un largo especifico</t>
  </si>
  <si>
    <t>Corresponde a validar el filler si esta compuesto por espacios y tiene un largo especifico</t>
  </si>
  <si>
    <t>17</t>
  </si>
  <si>
    <t>18</t>
  </si>
  <si>
    <t>Si se informa dato en el campo mora_actual entonces la suma de los campos de mora del 1 al 9 tiene que ser mayor a cero.</t>
  </si>
  <si>
    <t>19</t>
  </si>
  <si>
    <t>Si la suma de los campos de mora 1 al 9 es mayor a cero, entonces el campo mora actual debe ser mayor a cero.</t>
  </si>
  <si>
    <t>20</t>
  </si>
  <si>
    <t>Si el campo deuda acelerada es igual a 1, entonces campo monto al dia tiene que ser igual a cero y la suma de los campos en mora del 1 al 9 debe ser mayor a cero.</t>
  </si>
  <si>
    <t>21</t>
  </si>
  <si>
    <t>Si el campo deuda acelerada es igual a 1, entonces el campo mora actual debe ser mayor a cero.</t>
  </si>
  <si>
    <t>22</t>
  </si>
  <si>
    <t>Si el campo deuda acelerada es igual a 1, entonces el campo de carga financiera debe ser igual a cero</t>
  </si>
  <si>
    <t>23</t>
  </si>
  <si>
    <t>Para tipo de deudor 1, campo operacion + tipo de obligacion, deben ser unicos</t>
  </si>
  <si>
    <t>24</t>
  </si>
  <si>
    <t>Para tipo de deudor 2, campo operacion + campo rut + tipo de obligacion, deben ser unicos</t>
  </si>
  <si>
    <t>proceso.val_reporte_rdc01</t>
  </si>
  <si>
    <t>Si el credito esta completamente moroso , la carga financiera debe ser cero</t>
  </si>
  <si>
    <t>Relacion entre campos, si se informa dato en campo mora actual, debe haber monto de mora en almenos alguno tramo de mora</t>
  </si>
  <si>
    <t>Relacion entre campos, si existe monto en mora en algunos de los tramos 1 al 9, entonces el campo mora_actual debe ser distinto de cero</t>
  </si>
  <si>
    <t>Si el credito esta acelerado, significa que no hay monto al dia ya que se hace se acelera toda la deuda, por lo tanto, esta todo moroso</t>
  </si>
  <si>
    <t>Credito acelerado implica que todo esta moroso, por lo tanto, debe informar dato en campo mora_actual</t>
  </si>
  <si>
    <t>Como esta acelerado y todo esta moroso, campo carga financiera debe ser cero ya que excluye la mora.</t>
  </si>
  <si>
    <t>Significa que no deben repetirse los campos numero de operacion y tipo de obligacion para deudas directas</t>
  </si>
  <si>
    <t>Significa que no deben repetirse los campos rut mas numero de operacion mas tipo de obligacion para deudas indirectas</t>
  </si>
  <si>
    <t>Usado en RDC01</t>
  </si>
  <si>
    <t>Usado en RDC20</t>
  </si>
  <si>
    <t>Si</t>
  </si>
  <si>
    <t>No</t>
  </si>
  <si>
    <t>25</t>
  </si>
  <si>
    <t>Tipo de obligacion reportado igual a (07, 08, 41, 42, 43, 44) y tipo de flujo es distinto a 03</t>
  </si>
  <si>
    <t>proceso.val_reporte_rdc20</t>
  </si>
  <si>
    <t>Para el registro 1 solo se pueden informar tipos de obligaciones 07, 08, 41, 42, 43, 44 en tipos de flujos igual a 03</t>
  </si>
  <si>
    <t>26</t>
  </si>
  <si>
    <t>Tipo de flujo informado Amortizacion de capital (01) con signo distinto de negativo(-)</t>
  </si>
  <si>
    <t>En el registro 1 los flujos de Amortizacion de capital (01) solo permiten signos negativos</t>
  </si>
  <si>
    <t>27</t>
  </si>
  <si>
    <t>Tipo de flujo informado Interes capitalizado (02) con signo distinto de positivo (+)</t>
  </si>
  <si>
    <t>En el registro 1 los flujos de Interes Capitalizado (02) solo permiten signos positivos</t>
  </si>
  <si>
    <t>Tipo de flujo informado Venta de cartera (04) con signo distinto de negativo (-)</t>
  </si>
  <si>
    <t>28</t>
  </si>
  <si>
    <t>En el registro 1 los flujos de Venta de Cartera (04) solo permiten signos negativos</t>
  </si>
  <si>
    <t>29</t>
  </si>
  <si>
    <t>Tipo de flujo informado Compra de cartera (05) con signo distinto de positivo (+)</t>
  </si>
  <si>
    <t>En el registro 1 los flujos de Compra de Cartera (05) solo permiten signos positivos</t>
  </si>
  <si>
    <t>Tipo de flujo informado Cesion de credito del reportante a otra entidad (06) con signo distinto de negativo (-)</t>
  </si>
  <si>
    <t>30</t>
  </si>
  <si>
    <t>En el registro 1 los flujos de Cesion de Credito del reportante a otra entidad (06) solo permiten signos negativos</t>
  </si>
  <si>
    <t>31</t>
  </si>
  <si>
    <t>Tipo de flujo informado Cesion de credito adquirido por el reportante (07) con signo distinto de positivo (+)</t>
  </si>
  <si>
    <t>En el registro 1 los flujos de Cesion de Credito adquirido por el reportante (07) solo permiten signos positivos</t>
  </si>
  <si>
    <t>32</t>
  </si>
  <si>
    <t>Tipo de flujo informado Prescripcion sentenciada por Tribunal diferentes a un procedimiento concursal de liquidacion (08) con signo distinto a negativo (-)</t>
  </si>
  <si>
    <t>En el registro 1 los flujos de Prescripcion sentenciada por el Tribunal (08) solo permiten signos negativos</t>
  </si>
  <si>
    <t>33</t>
  </si>
  <si>
    <t>Tipo de flujo informado Exclusion por obligacion reportable que cumple cinco años en morosidad (09) con signo distinto a negativo (-)</t>
  </si>
  <si>
    <t>En el registro 1 los flujos de Exclusion por obligacion reportable que cumple cinco años en morosidad (09) solo permiten signos negativos</t>
  </si>
  <si>
    <t>34</t>
  </si>
  <si>
    <t>Tipo de flujo informado Liquidacion de la obligacion por Procedimiento Concursal de liquidacion (10) con signo distinto de negativo (-)</t>
  </si>
  <si>
    <t>En el registro 1 los flujos de Liquidacion de la obligacion por Procedimiento Concursal de liquidacion (10) solo permiten signos negativos</t>
  </si>
  <si>
    <t>35</t>
  </si>
  <si>
    <t>Se informa tipo de flujo 08 y/o 10 en el registro 01 y no existe tipo de registro 02 informado</t>
  </si>
  <si>
    <t>Se informa tipo de registro 02 y no existen flujos 08 y/o 10 en el registro 01</t>
  </si>
  <si>
    <t>36</t>
  </si>
  <si>
    <t>Se informan datos en el registro 02 pero no existen flujos 08 y/o 10 en el tipo de registro 01</t>
  </si>
  <si>
    <t>Se informa tipo de flujo 04 y/o 06 en el registro 01 y no existe tipo de registro 03 informado</t>
  </si>
  <si>
    <t>37</t>
  </si>
  <si>
    <t>Se informa tipo de registro 03 y no existen flujos 04 y/o 06 en el registro 01</t>
  </si>
  <si>
    <t>38</t>
  </si>
  <si>
    <t>Se informan datos en el registro 03 pero no existen flujos 04 y/o 06 en el tipo de registro 01</t>
  </si>
  <si>
    <t>Se informa tipo de flujo 05 y/o 07 en el registro 01 y no existe tipo de registro 04 informado</t>
  </si>
  <si>
    <t>39</t>
  </si>
  <si>
    <t>Se informan tipos de flujos 08 y/o 10 en el registro 01 pero no se estan informando registros en el tipo de registro igual a 02</t>
  </si>
  <si>
    <t>Se informan tipos de flujos 04 y/o 06 en el registro 01 pero no se estan informando registros en el tipo de registro igual a 03</t>
  </si>
  <si>
    <t>Se informan tipos de flujos 05 y/o 07 en el registro 01 pero no se estan informando registros en el tipo de registro igual a 04</t>
  </si>
  <si>
    <t>Se informa tipo de registro 04 y no existen flujos 05 y/o 07 en el registro 01</t>
  </si>
  <si>
    <t>40</t>
  </si>
  <si>
    <t>Se informan datos en el registro 04 pero no existen flujos 05 y/o 07 en el tipo de registro 01</t>
  </si>
  <si>
    <t>tipo_registro</t>
  </si>
  <si>
    <t>tipo_obligacion</t>
  </si>
  <si>
    <t>tipo_flujo</t>
  </si>
  <si>
    <t>monto</t>
  </si>
  <si>
    <t>filler</t>
  </si>
  <si>
    <t>01</t>
  </si>
  <si>
    <t>00000000000001000000-</t>
  </si>
  <si>
    <t xml:space="preserve">                                                       </t>
  </si>
  <si>
    <t>Deberia estar OK</t>
  </si>
  <si>
    <t>Proyeccion validador</t>
  </si>
  <si>
    <t>02</t>
  </si>
  <si>
    <t>00000000000001000000+</t>
  </si>
  <si>
    <t>03</t>
  </si>
  <si>
    <t>04</t>
  </si>
  <si>
    <t>05</t>
  </si>
  <si>
    <t>06</t>
  </si>
  <si>
    <t>07</t>
  </si>
  <si>
    <t>08</t>
  </si>
  <si>
    <t>09</t>
  </si>
  <si>
    <t>42</t>
  </si>
  <si>
    <t>rut_deudor</t>
  </si>
  <si>
    <t>codigo_operacion</t>
  </si>
  <si>
    <t>fecha_informacion</t>
  </si>
  <si>
    <t>ident_tribunal</t>
  </si>
  <si>
    <t>000000000000000000000000000001</t>
  </si>
  <si>
    <t>20251129</t>
  </si>
  <si>
    <t>0000001</t>
  </si>
  <si>
    <t>00000000000001000000</t>
  </si>
  <si>
    <t xml:space="preserve">   </t>
  </si>
  <si>
    <t>000000000000000000000000000002</t>
  </si>
  <si>
    <t>000000000000000000000000000003</t>
  </si>
  <si>
    <t>000000000000000000000000000004</t>
  </si>
  <si>
    <t>rut_comprador</t>
  </si>
  <si>
    <t>0153779546</t>
  </si>
  <si>
    <t>0123456789</t>
  </si>
  <si>
    <t>0000000019</t>
  </si>
  <si>
    <t>rut_vendedor</t>
  </si>
  <si>
    <t>000000000000000000000000000005</t>
  </si>
  <si>
    <t>000000000000000000000000000006</t>
  </si>
  <si>
    <t>Cabecera</t>
  </si>
  <si>
    <r>
      <t>0000000</t>
    </r>
    <r>
      <rPr>
        <b/>
        <sz val="11"/>
        <color rgb="FFFF0000"/>
        <rFont val="Calibri"/>
        <family val="2"/>
        <scheme val="minor"/>
      </rPr>
      <t>775RDC99</t>
    </r>
    <r>
      <rPr>
        <sz val="11"/>
        <color theme="1"/>
        <rFont val="Calibri"/>
        <family val="2"/>
        <scheme val="minor"/>
      </rPr>
      <t xml:space="preserve">30112025                                                          </t>
    </r>
  </si>
  <si>
    <t>Numero de linea</t>
  </si>
  <si>
    <t>Lineas</t>
  </si>
  <si>
    <t>Proyeccion Status</t>
  </si>
  <si>
    <t>NOOK</t>
  </si>
  <si>
    <t>Status Real</t>
  </si>
  <si>
    <t>29112025</t>
  </si>
  <si>
    <t xml:space="preserve">  </t>
  </si>
  <si>
    <t>99</t>
  </si>
  <si>
    <t>-00000000000001000000</t>
  </si>
  <si>
    <t xml:space="preserve">                                                    </t>
  </si>
  <si>
    <t>0123456785</t>
  </si>
  <si>
    <t xml:space="preserve">000000001000000     </t>
  </si>
  <si>
    <t xml:space="preserve">1      </t>
  </si>
  <si>
    <t>No se puede validar en esta pasada</t>
  </si>
  <si>
    <t>No se validar en esta pasada</t>
  </si>
  <si>
    <r>
      <t>0000000</t>
    </r>
    <r>
      <rPr>
        <b/>
        <sz val="11"/>
        <color rgb="FFFF0000"/>
        <rFont val="Calibri"/>
        <family val="2"/>
        <scheme val="minor"/>
      </rPr>
      <t>777RDC20</t>
    </r>
    <r>
      <rPr>
        <sz val="11"/>
        <color theme="1"/>
        <rFont val="Calibri"/>
        <family val="2"/>
        <scheme val="minor"/>
      </rPr>
      <t xml:space="preserve">20251130                                                           </t>
    </r>
  </si>
  <si>
    <t>No se puede validar por que es un tipo de registro que no corresponde</t>
  </si>
  <si>
    <t>linea</t>
  </si>
  <si>
    <t>rut</t>
  </si>
  <si>
    <t>tipo_persona</t>
  </si>
  <si>
    <t>operacion_titulo</t>
  </si>
  <si>
    <t>tipo_deudor</t>
  </si>
  <si>
    <t>fecha_otorgamiento</t>
  </si>
  <si>
    <t>carga_financiera</t>
  </si>
  <si>
    <t>fecha_extincion</t>
  </si>
  <si>
    <t>valor_gtia_inmobiliaria</t>
  </si>
  <si>
    <t>valor_gtia_mobiliaria</t>
  </si>
  <si>
    <t>valor_gtia_financiera</t>
  </si>
  <si>
    <t>valor_gtia_personal</t>
  </si>
  <si>
    <t>monto_original</t>
  </si>
  <si>
    <t>monto_actual</t>
  </si>
  <si>
    <t>monto_al_dia</t>
  </si>
  <si>
    <t>monto_mora_1_tramo</t>
  </si>
  <si>
    <t>monto_mora_2_tramo</t>
  </si>
  <si>
    <t>monto_mora_3_tramo</t>
  </si>
  <si>
    <t>monto_mora_4_tramo</t>
  </si>
  <si>
    <t>monto_mora_5_tramo</t>
  </si>
  <si>
    <t>monto_mora_6_tramo</t>
  </si>
  <si>
    <t>monto_mora_7_tramo</t>
  </si>
  <si>
    <t>monto_mora_8_tramo</t>
  </si>
  <si>
    <t>monto_mora_9_tramo</t>
  </si>
  <si>
    <t>mora_actual</t>
  </si>
  <si>
    <t>deuda_renegociada</t>
  </si>
  <si>
    <t>deuda_acelerada</t>
  </si>
  <si>
    <t>20251112</t>
  </si>
  <si>
    <t>20251212</t>
  </si>
  <si>
    <t>000000000000000</t>
  </si>
  <si>
    <t>000000000001000</t>
  </si>
  <si>
    <t>0001</t>
  </si>
  <si>
    <t>0000</t>
  </si>
  <si>
    <t>0028391781</t>
  </si>
  <si>
    <t>0060761906</t>
  </si>
  <si>
    <t>003329607k</t>
  </si>
  <si>
    <t>0071579719</t>
  </si>
  <si>
    <t>0047440149</t>
  </si>
  <si>
    <t>0029788065</t>
  </si>
  <si>
    <t>0033887965</t>
  </si>
  <si>
    <t>0049231733</t>
  </si>
  <si>
    <t>0027258182</t>
  </si>
  <si>
    <t>0071085198</t>
  </si>
  <si>
    <t xml:space="preserve">0000000777RDC0120251130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</si>
  <si>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Largo</t>
  </si>
  <si>
    <t>000000000000000000000000000007</t>
  </si>
  <si>
    <t>000000000000000000000000000008</t>
  </si>
  <si>
    <t>000000000000000000000000000009</t>
  </si>
  <si>
    <t>000000000000000000000000000010</t>
  </si>
  <si>
    <t>0127558590</t>
  </si>
  <si>
    <t xml:space="preserve">0000000775RDC9920251130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</si>
  <si>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0028391782</t>
  </si>
  <si>
    <t>0127558591</t>
  </si>
  <si>
    <t>0</t>
  </si>
  <si>
    <t>12112025</t>
  </si>
  <si>
    <t xml:space="preserve">1000           </t>
  </si>
  <si>
    <t xml:space="preserve">0              </t>
  </si>
  <si>
    <t>000000000000100</t>
  </si>
  <si>
    <t>Si se informa tipo deudor 1, el sujeto esta 100% moroso y el monto actual = suma(tramos de mora de 1 a 9) entonces carga financiera tiene que estar en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</si>
</sst>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SimSun"/>
    </font>
    <font>
      <sz val="11"/>
      <color theme="1"/>
      <name val="SimSun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0" xfId="0" applyAlignment="1">
      <alignment horizontal="center"/>
    </xf>
    <xf numFmtId="49" fontId="3" fillId="5" borderId="0" xfId="0" applyNumberFormat="1" applyFont="1" applyFill="1"/>
    <xf numFmtId="49" fontId="5" fillId="2" borderId="0" xfId="0" applyNumberFormat="1" applyFont="1" applyFill="1"/>
    <xf numFmtId="49" fontId="0" fillId="0" borderId="0" xfId="0" quotePrefix="1" applyNumberFormat="1"/>
    <xf numFmtId="49" fontId="0" fillId="0" borderId="0" xfId="0" quotePrefix="1" applyNumberFormat="1" applyFill="1"/>
    <xf numFmtId="49" fontId="6" fillId="5" borderId="0" xfId="0" applyNumberFormat="1" applyFont="1" applyFill="1"/>
    <xf numFmtId="0" fontId="0" fillId="0" borderId="0" xfId="0" applyNumberFormat="1"/>
    <xf numFmtId="49" fontId="3" fillId="5" borderId="0" xfId="0" quotePrefix="1" applyNumberFormat="1" applyFont="1" applyFill="1"/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4" workbookViewId="0">
      <selection activeCell="B18" sqref="B18"/>
    </sheetView>
  </sheetViews>
  <sheetFormatPr defaultColWidth="8.88671875" defaultRowHeight="14.4" x14ac:dyDescent="0.25"/>
  <cols>
    <col min="1" max="1" width="14.109375" style="2" bestFit="1" customWidth="1"/>
    <col min="2" max="2" width="191.6640625" style="2" bestFit="1" customWidth="1"/>
    <col min="3" max="3" width="9.88671875" style="2" bestFit="1" customWidth="1"/>
    <col min="4" max="4" width="11" style="2" bestFit="1" customWidth="1"/>
    <col min="5" max="5" width="30.33203125" style="2" bestFit="1" customWidth="1"/>
    <col min="6" max="7" width="17.33203125" style="4" bestFit="1" customWidth="1"/>
    <col min="8" max="8" width="151.6640625" style="3" bestFit="1" customWidth="1"/>
    <col min="9" max="16384" width="8.88671875" style="3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48</v>
      </c>
      <c r="F1" s="4" t="s">
        <v>93</v>
      </c>
      <c r="G1" s="4" t="s">
        <v>94</v>
      </c>
      <c r="H1" s="3" t="s">
        <v>34</v>
      </c>
    </row>
    <row r="2" spans="1:8" x14ac:dyDescent="0.25">
      <c r="A2" s="1" t="s">
        <v>4</v>
      </c>
      <c r="B2" s="2" t="s">
        <v>30</v>
      </c>
      <c r="C2" s="2" t="s">
        <v>5</v>
      </c>
      <c r="D2" s="2" t="s">
        <v>6</v>
      </c>
      <c r="E2" s="2" t="s">
        <v>49</v>
      </c>
      <c r="F2" s="4" t="s">
        <v>95</v>
      </c>
      <c r="G2" s="4" t="s">
        <v>95</v>
      </c>
      <c r="H2" s="3" t="s">
        <v>35</v>
      </c>
    </row>
    <row r="3" spans="1:8" x14ac:dyDescent="0.25">
      <c r="A3" s="2" t="s">
        <v>7</v>
      </c>
      <c r="B3" s="2" t="s">
        <v>8</v>
      </c>
      <c r="C3" s="2" t="s">
        <v>5</v>
      </c>
      <c r="D3" s="2" t="s">
        <v>6</v>
      </c>
      <c r="E3" s="2" t="s">
        <v>50</v>
      </c>
      <c r="F3" s="4" t="s">
        <v>95</v>
      </c>
      <c r="G3" s="4" t="s">
        <v>95</v>
      </c>
      <c r="H3" s="3" t="s">
        <v>36</v>
      </c>
    </row>
    <row r="4" spans="1:8" x14ac:dyDescent="0.25">
      <c r="A4" s="2" t="s">
        <v>9</v>
      </c>
      <c r="B4" s="2" t="s">
        <v>10</v>
      </c>
      <c r="C4" s="2" t="s">
        <v>5</v>
      </c>
      <c r="D4" s="2" t="s">
        <v>6</v>
      </c>
      <c r="E4" s="2" t="s">
        <v>51</v>
      </c>
      <c r="F4" s="4" t="s">
        <v>95</v>
      </c>
      <c r="G4" s="4" t="s">
        <v>95</v>
      </c>
      <c r="H4" s="3" t="s">
        <v>37</v>
      </c>
    </row>
    <row r="5" spans="1:8" x14ac:dyDescent="0.25">
      <c r="A5" s="2" t="s">
        <v>12</v>
      </c>
      <c r="B5" s="2" t="s">
        <v>11</v>
      </c>
      <c r="C5" s="2" t="s">
        <v>5</v>
      </c>
      <c r="D5" s="2" t="s">
        <v>6</v>
      </c>
      <c r="E5" s="2" t="s">
        <v>53</v>
      </c>
      <c r="F5" s="4" t="s">
        <v>95</v>
      </c>
      <c r="G5" s="4" t="s">
        <v>95</v>
      </c>
      <c r="H5" s="3" t="s">
        <v>38</v>
      </c>
    </row>
    <row r="6" spans="1:8" x14ac:dyDescent="0.25">
      <c r="A6" s="2" t="s">
        <v>15</v>
      </c>
      <c r="B6" s="2" t="s">
        <v>13</v>
      </c>
      <c r="C6" s="2" t="s">
        <v>14</v>
      </c>
      <c r="D6" s="2" t="s">
        <v>16</v>
      </c>
      <c r="E6" s="2" t="s">
        <v>54</v>
      </c>
      <c r="F6" s="4" t="s">
        <v>95</v>
      </c>
      <c r="G6" s="4" t="s">
        <v>96</v>
      </c>
      <c r="H6" s="3" t="s">
        <v>39</v>
      </c>
    </row>
    <row r="7" spans="1:8" x14ac:dyDescent="0.25">
      <c r="A7" s="2" t="s">
        <v>17</v>
      </c>
      <c r="B7" s="2" t="s">
        <v>18</v>
      </c>
      <c r="C7" s="2" t="s">
        <v>14</v>
      </c>
      <c r="D7" s="2" t="s">
        <v>16</v>
      </c>
      <c r="E7" s="2" t="s">
        <v>54</v>
      </c>
      <c r="F7" s="4" t="s">
        <v>95</v>
      </c>
      <c r="G7" s="4" t="s">
        <v>96</v>
      </c>
      <c r="H7" s="3" t="s">
        <v>40</v>
      </c>
    </row>
    <row r="8" spans="1:8" x14ac:dyDescent="0.25">
      <c r="A8" s="2" t="s">
        <v>19</v>
      </c>
      <c r="B8" s="2" t="s">
        <v>31</v>
      </c>
      <c r="C8" s="2" t="s">
        <v>14</v>
      </c>
      <c r="D8" s="2" t="s">
        <v>16</v>
      </c>
      <c r="E8" s="2" t="s">
        <v>54</v>
      </c>
      <c r="F8" s="4" t="s">
        <v>95</v>
      </c>
      <c r="G8" s="4" t="s">
        <v>96</v>
      </c>
      <c r="H8" s="3" t="s">
        <v>41</v>
      </c>
    </row>
    <row r="9" spans="1:8" x14ac:dyDescent="0.25">
      <c r="A9" s="2" t="s">
        <v>20</v>
      </c>
      <c r="B9" s="2" t="s">
        <v>21</v>
      </c>
      <c r="C9" s="2" t="s">
        <v>5</v>
      </c>
      <c r="D9" s="2" t="s">
        <v>6</v>
      </c>
      <c r="E9" s="2" t="s">
        <v>54</v>
      </c>
      <c r="F9" s="4" t="s">
        <v>95</v>
      </c>
      <c r="G9" s="4" t="s">
        <v>95</v>
      </c>
      <c r="H9" s="3" t="s">
        <v>42</v>
      </c>
    </row>
    <row r="10" spans="1:8" x14ac:dyDescent="0.25">
      <c r="A10" s="2" t="s">
        <v>22</v>
      </c>
      <c r="B10" s="2" t="s">
        <v>23</v>
      </c>
      <c r="C10" s="2" t="s">
        <v>5</v>
      </c>
      <c r="D10" s="2" t="s">
        <v>6</v>
      </c>
      <c r="E10" s="2" t="s">
        <v>52</v>
      </c>
      <c r="F10" s="4" t="s">
        <v>95</v>
      </c>
      <c r="G10" s="4" t="s">
        <v>95</v>
      </c>
      <c r="H10" s="3" t="s">
        <v>43</v>
      </c>
    </row>
    <row r="11" spans="1:8" x14ac:dyDescent="0.25">
      <c r="A11" s="2" t="s">
        <v>24</v>
      </c>
      <c r="B11" s="2" t="s">
        <v>25</v>
      </c>
      <c r="C11" s="2" t="s">
        <v>5</v>
      </c>
      <c r="D11" s="2" t="s">
        <v>6</v>
      </c>
      <c r="E11" s="2" t="s">
        <v>55</v>
      </c>
      <c r="F11" s="4" t="s">
        <v>95</v>
      </c>
      <c r="G11" s="4" t="s">
        <v>95</v>
      </c>
      <c r="H11" s="3" t="s">
        <v>44</v>
      </c>
    </row>
    <row r="12" spans="1:8" x14ac:dyDescent="0.25">
      <c r="A12" s="2" t="s">
        <v>27</v>
      </c>
      <c r="B12" s="2" t="s">
        <v>26</v>
      </c>
      <c r="C12" s="2" t="s">
        <v>5</v>
      </c>
      <c r="D12" s="2" t="s">
        <v>6</v>
      </c>
      <c r="E12" s="2" t="s">
        <v>56</v>
      </c>
      <c r="F12" s="4" t="s">
        <v>96</v>
      </c>
      <c r="G12" s="4" t="s">
        <v>95</v>
      </c>
      <c r="H12" s="3" t="s">
        <v>45</v>
      </c>
    </row>
    <row r="13" spans="1:8" x14ac:dyDescent="0.25">
      <c r="A13" s="2" t="s">
        <v>28</v>
      </c>
      <c r="B13" s="2" t="s">
        <v>29</v>
      </c>
      <c r="C13" s="2" t="s">
        <v>14</v>
      </c>
      <c r="D13" s="2" t="s">
        <v>16</v>
      </c>
      <c r="E13" s="2" t="s">
        <v>57</v>
      </c>
      <c r="F13" s="4" t="s">
        <v>95</v>
      </c>
      <c r="G13" s="4" t="s">
        <v>96</v>
      </c>
      <c r="H13" s="3" t="s">
        <v>46</v>
      </c>
    </row>
    <row r="14" spans="1:8" x14ac:dyDescent="0.25">
      <c r="A14" s="2" t="s">
        <v>32</v>
      </c>
      <c r="B14" s="2" t="s">
        <v>33</v>
      </c>
      <c r="C14" s="2" t="s">
        <v>14</v>
      </c>
      <c r="D14" s="2" t="s">
        <v>16</v>
      </c>
      <c r="E14" s="2" t="s">
        <v>57</v>
      </c>
      <c r="F14" s="4" t="s">
        <v>95</v>
      </c>
      <c r="G14" s="4" t="s">
        <v>96</v>
      </c>
      <c r="H14" s="3" t="s">
        <v>47</v>
      </c>
    </row>
    <row r="15" spans="1:8" x14ac:dyDescent="0.25">
      <c r="A15" s="2" t="s">
        <v>58</v>
      </c>
      <c r="B15" s="2" t="s">
        <v>59</v>
      </c>
      <c r="C15" s="2" t="s">
        <v>5</v>
      </c>
      <c r="D15" s="2" t="s">
        <v>6</v>
      </c>
      <c r="E15" s="2" t="s">
        <v>57</v>
      </c>
      <c r="F15" s="4" t="s">
        <v>96</v>
      </c>
      <c r="G15" s="4" t="s">
        <v>95</v>
      </c>
      <c r="H15" s="3" t="s">
        <v>63</v>
      </c>
    </row>
    <row r="16" spans="1:8" x14ac:dyDescent="0.25">
      <c r="A16" s="2" t="s">
        <v>60</v>
      </c>
      <c r="B16" s="2" t="s">
        <v>61</v>
      </c>
      <c r="C16" s="2" t="s">
        <v>14</v>
      </c>
      <c r="D16" s="2" t="s">
        <v>62</v>
      </c>
      <c r="E16" s="2" t="s">
        <v>54</v>
      </c>
      <c r="F16" s="4" t="s">
        <v>96</v>
      </c>
      <c r="G16" s="4" t="s">
        <v>95</v>
      </c>
      <c r="H16" s="3" t="s">
        <v>64</v>
      </c>
    </row>
    <row r="17" spans="1:8" x14ac:dyDescent="0.25">
      <c r="A17" s="2" t="s">
        <v>65</v>
      </c>
      <c r="B17" s="2" t="s">
        <v>67</v>
      </c>
      <c r="C17" s="2" t="s">
        <v>5</v>
      </c>
      <c r="D17" s="2" t="s">
        <v>6</v>
      </c>
      <c r="E17" s="2" t="s">
        <v>66</v>
      </c>
      <c r="F17" s="4" t="s">
        <v>95</v>
      </c>
      <c r="G17" s="4" t="s">
        <v>95</v>
      </c>
      <c r="H17" s="3" t="s">
        <v>68</v>
      </c>
    </row>
    <row r="18" spans="1:8" x14ac:dyDescent="0.25">
      <c r="A18" s="2" t="s">
        <v>69</v>
      </c>
      <c r="B18" s="2" t="s">
        <v>262</v>
      </c>
      <c r="C18" s="2" t="s">
        <v>14</v>
      </c>
      <c r="D18" s="2" t="s">
        <v>16</v>
      </c>
      <c r="E18" s="2" t="s">
        <v>84</v>
      </c>
      <c r="F18" s="4" t="s">
        <v>95</v>
      </c>
      <c r="G18" s="4" t="s">
        <v>96</v>
      </c>
      <c r="H18" s="3" t="s">
        <v>85</v>
      </c>
    </row>
    <row r="19" spans="1:8" x14ac:dyDescent="0.25">
      <c r="A19" s="2" t="s">
        <v>70</v>
      </c>
      <c r="B19" s="2" t="s">
        <v>71</v>
      </c>
      <c r="C19" s="2" t="s">
        <v>14</v>
      </c>
      <c r="D19" s="2" t="s">
        <v>16</v>
      </c>
      <c r="E19" s="2" t="s">
        <v>84</v>
      </c>
      <c r="F19" s="4" t="s">
        <v>95</v>
      </c>
      <c r="G19" s="4" t="s">
        <v>96</v>
      </c>
      <c r="H19" s="3" t="s">
        <v>86</v>
      </c>
    </row>
    <row r="20" spans="1:8" x14ac:dyDescent="0.25">
      <c r="A20" s="2" t="s">
        <v>72</v>
      </c>
      <c r="B20" s="2" t="s">
        <v>73</v>
      </c>
      <c r="C20" s="2" t="s">
        <v>14</v>
      </c>
      <c r="D20" s="2" t="s">
        <v>16</v>
      </c>
      <c r="E20" s="2" t="s">
        <v>84</v>
      </c>
      <c r="F20" s="4" t="s">
        <v>95</v>
      </c>
      <c r="G20" s="4" t="s">
        <v>96</v>
      </c>
      <c r="H20" s="3" t="s">
        <v>87</v>
      </c>
    </row>
    <row r="21" spans="1:8" x14ac:dyDescent="0.25">
      <c r="A21" s="2" t="s">
        <v>74</v>
      </c>
      <c r="B21" s="2" t="s">
        <v>75</v>
      </c>
      <c r="C21" s="2" t="s">
        <v>14</v>
      </c>
      <c r="D21" s="2" t="s">
        <v>16</v>
      </c>
      <c r="E21" s="2" t="s">
        <v>84</v>
      </c>
      <c r="F21" s="4" t="s">
        <v>95</v>
      </c>
      <c r="G21" s="4" t="s">
        <v>96</v>
      </c>
      <c r="H21" s="3" t="s">
        <v>88</v>
      </c>
    </row>
    <row r="22" spans="1:8" x14ac:dyDescent="0.25">
      <c r="A22" s="2" t="s">
        <v>76</v>
      </c>
      <c r="B22" s="2" t="s">
        <v>77</v>
      </c>
      <c r="C22" s="2" t="s">
        <v>14</v>
      </c>
      <c r="D22" s="2" t="s">
        <v>16</v>
      </c>
      <c r="E22" s="2" t="s">
        <v>84</v>
      </c>
      <c r="F22" s="4" t="s">
        <v>95</v>
      </c>
      <c r="G22" s="4" t="s">
        <v>96</v>
      </c>
      <c r="H22" s="3" t="s">
        <v>89</v>
      </c>
    </row>
    <row r="23" spans="1:8" x14ac:dyDescent="0.25">
      <c r="A23" s="2" t="s">
        <v>78</v>
      </c>
      <c r="B23" s="2" t="s">
        <v>79</v>
      </c>
      <c r="C23" s="2" t="s">
        <v>14</v>
      </c>
      <c r="D23" s="2" t="s">
        <v>16</v>
      </c>
      <c r="E23" s="2" t="s">
        <v>84</v>
      </c>
      <c r="F23" s="4" t="s">
        <v>95</v>
      </c>
      <c r="G23" s="4" t="s">
        <v>96</v>
      </c>
      <c r="H23" s="3" t="s">
        <v>90</v>
      </c>
    </row>
    <row r="24" spans="1:8" x14ac:dyDescent="0.25">
      <c r="A24" s="2" t="s">
        <v>80</v>
      </c>
      <c r="B24" s="2" t="s">
        <v>81</v>
      </c>
      <c r="C24" s="2" t="s">
        <v>14</v>
      </c>
      <c r="D24" s="2" t="s">
        <v>16</v>
      </c>
      <c r="E24" s="2" t="s">
        <v>84</v>
      </c>
      <c r="F24" s="4" t="s">
        <v>95</v>
      </c>
      <c r="G24" s="4" t="s">
        <v>96</v>
      </c>
      <c r="H24" s="3" t="s">
        <v>91</v>
      </c>
    </row>
    <row r="25" spans="1:8" x14ac:dyDescent="0.25">
      <c r="A25" s="2" t="s">
        <v>82</v>
      </c>
      <c r="B25" s="2" t="s">
        <v>83</v>
      </c>
      <c r="C25" s="2" t="s">
        <v>14</v>
      </c>
      <c r="D25" s="2" t="s">
        <v>16</v>
      </c>
      <c r="E25" s="2" t="s">
        <v>84</v>
      </c>
      <c r="F25" s="4" t="s">
        <v>95</v>
      </c>
      <c r="G25" s="4" t="s">
        <v>96</v>
      </c>
      <c r="H25" s="3" t="s">
        <v>92</v>
      </c>
    </row>
    <row r="26" spans="1:8" x14ac:dyDescent="0.25">
      <c r="A26" s="2" t="s">
        <v>97</v>
      </c>
      <c r="B26" s="2" t="s">
        <v>98</v>
      </c>
      <c r="C26" s="2" t="s">
        <v>14</v>
      </c>
      <c r="D26" s="2" t="s">
        <v>62</v>
      </c>
      <c r="E26" s="2" t="s">
        <v>99</v>
      </c>
      <c r="F26" s="4" t="s">
        <v>96</v>
      </c>
      <c r="G26" s="4" t="s">
        <v>95</v>
      </c>
      <c r="H26" s="3" t="s">
        <v>100</v>
      </c>
    </row>
    <row r="27" spans="1:8" x14ac:dyDescent="0.25">
      <c r="A27" s="2" t="s">
        <v>101</v>
      </c>
      <c r="B27" s="2" t="s">
        <v>102</v>
      </c>
      <c r="C27" s="2" t="s">
        <v>14</v>
      </c>
      <c r="D27" s="2" t="s">
        <v>62</v>
      </c>
      <c r="E27" s="2" t="s">
        <v>99</v>
      </c>
      <c r="F27" s="4" t="s">
        <v>96</v>
      </c>
      <c r="G27" s="4" t="s">
        <v>95</v>
      </c>
      <c r="H27" s="3" t="s">
        <v>103</v>
      </c>
    </row>
    <row r="28" spans="1:8" x14ac:dyDescent="0.25">
      <c r="A28" s="2" t="s">
        <v>104</v>
      </c>
      <c r="B28" s="2" t="s">
        <v>105</v>
      </c>
      <c r="C28" s="2" t="s">
        <v>14</v>
      </c>
      <c r="D28" s="2" t="s">
        <v>62</v>
      </c>
      <c r="E28" s="2" t="s">
        <v>99</v>
      </c>
      <c r="F28" s="4" t="s">
        <v>96</v>
      </c>
      <c r="G28" s="4" t="s">
        <v>95</v>
      </c>
      <c r="H28" s="3" t="s">
        <v>106</v>
      </c>
    </row>
    <row r="29" spans="1:8" x14ac:dyDescent="0.25">
      <c r="A29" s="2" t="s">
        <v>108</v>
      </c>
      <c r="B29" s="2" t="s">
        <v>107</v>
      </c>
      <c r="C29" s="2" t="s">
        <v>14</v>
      </c>
      <c r="D29" s="2" t="s">
        <v>62</v>
      </c>
      <c r="E29" s="2" t="s">
        <v>99</v>
      </c>
      <c r="F29" s="4" t="s">
        <v>96</v>
      </c>
      <c r="G29" s="4" t="s">
        <v>95</v>
      </c>
      <c r="H29" s="3" t="s">
        <v>109</v>
      </c>
    </row>
    <row r="30" spans="1:8" x14ac:dyDescent="0.25">
      <c r="A30" s="2" t="s">
        <v>110</v>
      </c>
      <c r="B30" s="2" t="s">
        <v>111</v>
      </c>
      <c r="C30" s="2" t="s">
        <v>14</v>
      </c>
      <c r="D30" s="2" t="s">
        <v>62</v>
      </c>
      <c r="E30" s="2" t="s">
        <v>99</v>
      </c>
      <c r="F30" s="4" t="s">
        <v>96</v>
      </c>
      <c r="G30" s="4" t="s">
        <v>95</v>
      </c>
      <c r="H30" s="3" t="s">
        <v>112</v>
      </c>
    </row>
    <row r="31" spans="1:8" x14ac:dyDescent="0.25">
      <c r="A31" s="2" t="s">
        <v>114</v>
      </c>
      <c r="B31" s="2" t="s">
        <v>113</v>
      </c>
      <c r="C31" s="2" t="s">
        <v>14</v>
      </c>
      <c r="D31" s="2" t="s">
        <v>62</v>
      </c>
      <c r="E31" s="2" t="s">
        <v>99</v>
      </c>
      <c r="F31" s="4" t="s">
        <v>96</v>
      </c>
      <c r="G31" s="4" t="s">
        <v>95</v>
      </c>
      <c r="H31" s="3" t="s">
        <v>115</v>
      </c>
    </row>
    <row r="32" spans="1:8" x14ac:dyDescent="0.25">
      <c r="A32" s="2" t="s">
        <v>116</v>
      </c>
      <c r="B32" s="2" t="s">
        <v>117</v>
      </c>
      <c r="C32" s="2" t="s">
        <v>14</v>
      </c>
      <c r="D32" s="2" t="s">
        <v>62</v>
      </c>
      <c r="E32" s="2" t="s">
        <v>99</v>
      </c>
      <c r="F32" s="4" t="s">
        <v>96</v>
      </c>
      <c r="G32" s="4" t="s">
        <v>95</v>
      </c>
      <c r="H32" s="3" t="s">
        <v>118</v>
      </c>
    </row>
    <row r="33" spans="1:8" x14ac:dyDescent="0.25">
      <c r="A33" s="2" t="s">
        <v>119</v>
      </c>
      <c r="B33" s="2" t="s">
        <v>120</v>
      </c>
      <c r="C33" s="2" t="s">
        <v>14</v>
      </c>
      <c r="D33" s="2" t="s">
        <v>62</v>
      </c>
      <c r="E33" s="2" t="s">
        <v>99</v>
      </c>
      <c r="F33" s="4" t="s">
        <v>96</v>
      </c>
      <c r="G33" s="4" t="s">
        <v>95</v>
      </c>
      <c r="H33" s="3" t="s">
        <v>121</v>
      </c>
    </row>
    <row r="34" spans="1:8" x14ac:dyDescent="0.25">
      <c r="A34" s="2" t="s">
        <v>122</v>
      </c>
      <c r="B34" s="2" t="s">
        <v>123</v>
      </c>
      <c r="C34" s="2" t="s">
        <v>14</v>
      </c>
      <c r="D34" s="2" t="s">
        <v>62</v>
      </c>
      <c r="E34" s="2" t="s">
        <v>99</v>
      </c>
      <c r="F34" s="4" t="s">
        <v>96</v>
      </c>
      <c r="G34" s="4" t="s">
        <v>95</v>
      </c>
      <c r="H34" s="3" t="s">
        <v>124</v>
      </c>
    </row>
    <row r="35" spans="1:8" x14ac:dyDescent="0.25">
      <c r="A35" s="2" t="s">
        <v>125</v>
      </c>
      <c r="B35" s="2" t="s">
        <v>126</v>
      </c>
      <c r="C35" s="2" t="s">
        <v>14</v>
      </c>
      <c r="D35" s="2" t="s">
        <v>62</v>
      </c>
      <c r="E35" s="2" t="s">
        <v>99</v>
      </c>
      <c r="F35" s="4" t="s">
        <v>96</v>
      </c>
      <c r="G35" s="4" t="s">
        <v>95</v>
      </c>
      <c r="H35" s="3" t="s">
        <v>127</v>
      </c>
    </row>
    <row r="36" spans="1:8" x14ac:dyDescent="0.25">
      <c r="A36" s="2" t="s">
        <v>128</v>
      </c>
      <c r="B36" s="2" t="s">
        <v>129</v>
      </c>
      <c r="C36" s="2" t="s">
        <v>14</v>
      </c>
      <c r="D36" s="2" t="s">
        <v>62</v>
      </c>
      <c r="E36" s="2" t="s">
        <v>99</v>
      </c>
      <c r="F36" s="4" t="s">
        <v>96</v>
      </c>
      <c r="G36" s="4" t="s">
        <v>95</v>
      </c>
      <c r="H36" s="3" t="s">
        <v>140</v>
      </c>
    </row>
    <row r="37" spans="1:8" x14ac:dyDescent="0.25">
      <c r="A37" s="2" t="s">
        <v>131</v>
      </c>
      <c r="B37" s="2" t="s">
        <v>130</v>
      </c>
      <c r="C37" s="2" t="s">
        <v>14</v>
      </c>
      <c r="D37" s="2" t="s">
        <v>62</v>
      </c>
      <c r="E37" s="2" t="s">
        <v>99</v>
      </c>
      <c r="F37" s="4" t="s">
        <v>96</v>
      </c>
      <c r="G37" s="4" t="s">
        <v>95</v>
      </c>
      <c r="H37" s="3" t="s">
        <v>132</v>
      </c>
    </row>
    <row r="38" spans="1:8" x14ac:dyDescent="0.25">
      <c r="A38" s="2" t="s">
        <v>134</v>
      </c>
      <c r="B38" s="2" t="s">
        <v>133</v>
      </c>
      <c r="C38" s="2" t="s">
        <v>14</v>
      </c>
      <c r="D38" s="2" t="s">
        <v>62</v>
      </c>
      <c r="E38" s="2" t="s">
        <v>99</v>
      </c>
      <c r="F38" s="4" t="s">
        <v>96</v>
      </c>
      <c r="G38" s="4" t="s">
        <v>95</v>
      </c>
      <c r="H38" s="3" t="s">
        <v>141</v>
      </c>
    </row>
    <row r="39" spans="1:8" x14ac:dyDescent="0.25">
      <c r="A39" s="2" t="s">
        <v>136</v>
      </c>
      <c r="B39" s="2" t="s">
        <v>135</v>
      </c>
      <c r="C39" s="2" t="s">
        <v>14</v>
      </c>
      <c r="D39" s="2" t="s">
        <v>62</v>
      </c>
      <c r="E39" s="2" t="s">
        <v>99</v>
      </c>
      <c r="F39" s="4" t="s">
        <v>96</v>
      </c>
      <c r="G39" s="4" t="s">
        <v>95</v>
      </c>
      <c r="H39" s="3" t="s">
        <v>137</v>
      </c>
    </row>
    <row r="40" spans="1:8" x14ac:dyDescent="0.25">
      <c r="A40" s="2" t="s">
        <v>139</v>
      </c>
      <c r="B40" s="2" t="s">
        <v>138</v>
      </c>
      <c r="C40" s="2" t="s">
        <v>14</v>
      </c>
      <c r="D40" s="2" t="s">
        <v>62</v>
      </c>
      <c r="E40" s="2" t="s">
        <v>99</v>
      </c>
      <c r="F40" s="4" t="s">
        <v>96</v>
      </c>
      <c r="G40" s="4" t="s">
        <v>95</v>
      </c>
      <c r="H40" s="3" t="s">
        <v>142</v>
      </c>
    </row>
    <row r="41" spans="1:8" x14ac:dyDescent="0.25">
      <c r="A41" s="2" t="s">
        <v>144</v>
      </c>
      <c r="B41" s="2" t="s">
        <v>143</v>
      </c>
      <c r="C41" s="2" t="s">
        <v>14</v>
      </c>
      <c r="D41" s="2" t="s">
        <v>62</v>
      </c>
      <c r="E41" s="2" t="s">
        <v>99</v>
      </c>
      <c r="F41" s="4" t="s">
        <v>96</v>
      </c>
      <c r="G41" s="4" t="s">
        <v>95</v>
      </c>
      <c r="H41" s="3" t="s">
        <v>145</v>
      </c>
    </row>
  </sheetData>
  <conditionalFormatting sqref="F1:G1048576">
    <cfRule type="cellIs" dxfId="3" priority="1" operator="equal">
      <formula>"No"</formula>
    </cfRule>
    <cfRule type="cellIs" dxfId="2" priority="2" operator="equal">
      <formula>"Si"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31FF-6B18-4ADB-9E33-91E891167694}">
  <dimension ref="A1:AI167"/>
  <sheetViews>
    <sheetView workbookViewId="0"/>
  </sheetViews>
  <sheetFormatPr defaultRowHeight="14.4" x14ac:dyDescent="0.3"/>
  <cols>
    <col min="1" max="1" width="19.109375" bestFit="1" customWidth="1"/>
    <col min="2" max="2" width="12.109375" style="5" bestFit="1" customWidth="1"/>
    <col min="3" max="3" width="14.44140625" style="5" bestFit="1" customWidth="1"/>
    <col min="4" max="5" width="31.5546875" style="5" bestFit="1" customWidth="1"/>
    <col min="6" max="6" width="25.88671875" style="5" bestFit="1" customWidth="1"/>
    <col min="7" max="7" width="14.44140625" style="5" bestFit="1" customWidth="1"/>
    <col min="8" max="8" width="20.5546875" style="5" customWidth="1"/>
  </cols>
  <sheetData>
    <row r="1" spans="1:35" x14ac:dyDescent="0.3">
      <c r="A1" t="s">
        <v>155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</row>
    <row r="2" spans="1:35" x14ac:dyDescent="0.3">
      <c r="A2" t="s">
        <v>154</v>
      </c>
      <c r="B2" s="5" t="s">
        <v>151</v>
      </c>
      <c r="C2" s="5" t="s">
        <v>151</v>
      </c>
      <c r="D2" s="5" t="s">
        <v>151</v>
      </c>
      <c r="E2" s="5" t="s">
        <v>152</v>
      </c>
      <c r="F2" s="5" t="s">
        <v>153</v>
      </c>
      <c r="J2" s="5" t="str">
        <f>B2&amp;C2&amp;D2&amp;E2&amp;F2</f>
        <v xml:space="preserve">01010100000000000001000000-                                                       </v>
      </c>
    </row>
    <row r="3" spans="1:35" x14ac:dyDescent="0.3">
      <c r="A3" t="s">
        <v>154</v>
      </c>
      <c r="B3" s="5" t="s">
        <v>151</v>
      </c>
      <c r="C3" s="5" t="s">
        <v>151</v>
      </c>
      <c r="D3" s="5" t="s">
        <v>156</v>
      </c>
      <c r="E3" s="5" t="s">
        <v>157</v>
      </c>
      <c r="F3" s="5" t="s">
        <v>153</v>
      </c>
      <c r="J3" s="5" t="str">
        <f t="shared" ref="J3:J13" si="0">B3&amp;C3&amp;D3&amp;E3&amp;F3</f>
        <v xml:space="preserve">01010200000000000001000000+                                                       </v>
      </c>
    </row>
    <row r="4" spans="1:35" x14ac:dyDescent="0.3">
      <c r="A4" t="s">
        <v>154</v>
      </c>
      <c r="B4" s="5" t="s">
        <v>151</v>
      </c>
      <c r="C4" s="5" t="s">
        <v>165</v>
      </c>
      <c r="D4" s="5" t="s">
        <v>158</v>
      </c>
      <c r="E4" s="5" t="s">
        <v>152</v>
      </c>
      <c r="F4" s="5" t="s">
        <v>153</v>
      </c>
      <c r="J4" s="5" t="str">
        <f t="shared" si="0"/>
        <v xml:space="preserve">01420300000000000001000000-                                                       </v>
      </c>
    </row>
    <row r="5" spans="1:35" x14ac:dyDescent="0.3">
      <c r="A5" t="s">
        <v>154</v>
      </c>
      <c r="B5" s="7" t="s">
        <v>151</v>
      </c>
      <c r="C5" s="7" t="s">
        <v>151</v>
      </c>
      <c r="D5" s="7" t="s">
        <v>159</v>
      </c>
      <c r="E5" s="7" t="s">
        <v>152</v>
      </c>
      <c r="F5" s="7" t="s">
        <v>153</v>
      </c>
      <c r="J5" s="5" t="str">
        <f t="shared" si="0"/>
        <v xml:space="preserve">01010400000000000001000000-                                                       </v>
      </c>
    </row>
    <row r="6" spans="1:35" x14ac:dyDescent="0.3">
      <c r="A6" t="s">
        <v>154</v>
      </c>
      <c r="B6" s="8" t="s">
        <v>151</v>
      </c>
      <c r="C6" s="8" t="s">
        <v>151</v>
      </c>
      <c r="D6" s="8" t="s">
        <v>160</v>
      </c>
      <c r="E6" s="8" t="s">
        <v>157</v>
      </c>
      <c r="F6" s="8" t="s">
        <v>153</v>
      </c>
      <c r="J6" s="5" t="str">
        <f t="shared" si="0"/>
        <v xml:space="preserve">01010500000000000001000000+                                                       </v>
      </c>
    </row>
    <row r="7" spans="1:35" x14ac:dyDescent="0.3">
      <c r="A7" t="s">
        <v>154</v>
      </c>
      <c r="B7" s="7" t="s">
        <v>151</v>
      </c>
      <c r="C7" s="7" t="s">
        <v>151</v>
      </c>
      <c r="D7" s="7" t="s">
        <v>161</v>
      </c>
      <c r="E7" s="7" t="s">
        <v>152</v>
      </c>
      <c r="F7" s="7" t="s">
        <v>153</v>
      </c>
      <c r="J7" s="5" t="str">
        <f t="shared" si="0"/>
        <v xml:space="preserve">01010600000000000001000000-                                                       </v>
      </c>
    </row>
    <row r="8" spans="1:35" x14ac:dyDescent="0.3">
      <c r="A8" t="s">
        <v>154</v>
      </c>
      <c r="B8" s="8" t="s">
        <v>151</v>
      </c>
      <c r="C8" s="8" t="s">
        <v>151</v>
      </c>
      <c r="D8" s="8" t="s">
        <v>162</v>
      </c>
      <c r="E8" s="8" t="s">
        <v>157</v>
      </c>
      <c r="F8" s="8" t="s">
        <v>153</v>
      </c>
      <c r="J8" s="5" t="str">
        <f t="shared" si="0"/>
        <v xml:space="preserve">01010700000000000001000000+                                                       </v>
      </c>
    </row>
    <row r="9" spans="1:35" x14ac:dyDescent="0.3">
      <c r="A9" t="s">
        <v>154</v>
      </c>
      <c r="B9" s="6" t="s">
        <v>151</v>
      </c>
      <c r="C9" s="6" t="s">
        <v>151</v>
      </c>
      <c r="D9" s="6" t="s">
        <v>163</v>
      </c>
      <c r="E9" s="6" t="s">
        <v>152</v>
      </c>
      <c r="F9" s="6" t="s">
        <v>153</v>
      </c>
      <c r="J9" s="5" t="str">
        <f t="shared" si="0"/>
        <v xml:space="preserve">01010800000000000001000000-                                                       </v>
      </c>
    </row>
    <row r="10" spans="1:35" x14ac:dyDescent="0.3">
      <c r="A10" t="s">
        <v>154</v>
      </c>
      <c r="B10" s="5" t="s">
        <v>151</v>
      </c>
      <c r="C10" s="5" t="s">
        <v>151</v>
      </c>
      <c r="D10" s="5" t="s">
        <v>164</v>
      </c>
      <c r="E10" s="5" t="s">
        <v>152</v>
      </c>
      <c r="F10" s="5" t="s">
        <v>153</v>
      </c>
      <c r="J10" s="5" t="str">
        <f t="shared" si="0"/>
        <v xml:space="preserve">01010900000000000001000000-                                                       </v>
      </c>
    </row>
    <row r="11" spans="1:35" x14ac:dyDescent="0.3">
      <c r="A11" t="s">
        <v>154</v>
      </c>
      <c r="B11" s="6" t="s">
        <v>151</v>
      </c>
      <c r="C11" s="6" t="s">
        <v>151</v>
      </c>
      <c r="D11" s="6" t="s">
        <v>24</v>
      </c>
      <c r="E11" s="6" t="s">
        <v>152</v>
      </c>
      <c r="F11" s="6" t="s">
        <v>153</v>
      </c>
      <c r="J11" s="5" t="str">
        <f t="shared" si="0"/>
        <v xml:space="preserve">01011000000000000001000000-                                                       </v>
      </c>
    </row>
    <row r="12" spans="1:35" x14ac:dyDescent="0.3">
      <c r="J12" s="5" t="str">
        <f t="shared" si="0"/>
        <v/>
      </c>
    </row>
    <row r="13" spans="1:35" x14ac:dyDescent="0.3">
      <c r="J13" s="5" t="str">
        <f t="shared" si="0"/>
        <v/>
      </c>
    </row>
    <row r="14" spans="1:35" x14ac:dyDescent="0.3">
      <c r="B14" s="5" t="s">
        <v>146</v>
      </c>
      <c r="C14" s="5" t="s">
        <v>166</v>
      </c>
      <c r="D14" s="5" t="s">
        <v>167</v>
      </c>
      <c r="E14" s="5" t="s">
        <v>168</v>
      </c>
      <c r="F14" s="5" t="s">
        <v>147</v>
      </c>
      <c r="G14" s="5" t="s">
        <v>169</v>
      </c>
      <c r="H14" s="5" t="s">
        <v>149</v>
      </c>
      <c r="I14" s="5" t="s">
        <v>150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x14ac:dyDescent="0.3">
      <c r="A15" t="s">
        <v>154</v>
      </c>
      <c r="B15" s="6" t="s">
        <v>156</v>
      </c>
      <c r="C15" s="6" t="s">
        <v>181</v>
      </c>
      <c r="D15" s="6" t="s">
        <v>170</v>
      </c>
      <c r="E15" s="6" t="s">
        <v>171</v>
      </c>
      <c r="F15" s="6" t="s">
        <v>151</v>
      </c>
      <c r="G15" s="6" t="s">
        <v>172</v>
      </c>
      <c r="H15" s="6" t="s">
        <v>173</v>
      </c>
      <c r="I15" s="6" t="s">
        <v>174</v>
      </c>
      <c r="J15" s="5" t="str">
        <f>B15&amp;C15&amp;D15&amp;E15&amp;F15&amp;G15&amp;H15&amp;I15</f>
        <v xml:space="preserve">0200000000190000000000000000000000000000012025112901000000100000000000001000000   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x14ac:dyDescent="0.3">
      <c r="A16" t="s">
        <v>154</v>
      </c>
      <c r="B16" s="6" t="s">
        <v>156</v>
      </c>
      <c r="C16" s="6" t="s">
        <v>197</v>
      </c>
      <c r="D16" s="6" t="s">
        <v>175</v>
      </c>
      <c r="E16" s="6" t="s">
        <v>171</v>
      </c>
      <c r="F16" s="6" t="s">
        <v>151</v>
      </c>
      <c r="G16" s="6" t="s">
        <v>172</v>
      </c>
      <c r="H16" s="6" t="s">
        <v>173</v>
      </c>
      <c r="I16" s="6" t="s">
        <v>174</v>
      </c>
      <c r="J16" s="5" t="str">
        <f>B16&amp;C16&amp;D16&amp;E16&amp;F16&amp;G16&amp;H16&amp;I16</f>
        <v xml:space="preserve">0201234567850000000000000000000000000000022025112901000000100000000000001000000   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3">
      <c r="B17"/>
      <c r="C17"/>
      <c r="D17"/>
      <c r="E17"/>
      <c r="F17"/>
      <c r="G17"/>
      <c r="H17"/>
    </row>
    <row r="18" spans="1:35" x14ac:dyDescent="0.3">
      <c r="B18" s="5" t="s">
        <v>146</v>
      </c>
      <c r="C18" s="5" t="s">
        <v>178</v>
      </c>
      <c r="D18" s="5" t="s">
        <v>166</v>
      </c>
      <c r="E18" s="5" t="s">
        <v>167</v>
      </c>
      <c r="F18" s="5" t="s">
        <v>168</v>
      </c>
      <c r="G18" s="5" t="s">
        <v>147</v>
      </c>
      <c r="H18" s="5" t="s">
        <v>149</v>
      </c>
      <c r="I18" s="5"/>
    </row>
    <row r="19" spans="1:35" x14ac:dyDescent="0.3">
      <c r="A19" t="s">
        <v>154</v>
      </c>
      <c r="B19" s="7" t="s">
        <v>158</v>
      </c>
      <c r="C19" s="7" t="s">
        <v>179</v>
      </c>
      <c r="D19" s="7" t="s">
        <v>181</v>
      </c>
      <c r="E19" s="7" t="s">
        <v>176</v>
      </c>
      <c r="F19" s="7" t="s">
        <v>171</v>
      </c>
      <c r="G19" s="7" t="s">
        <v>151</v>
      </c>
      <c r="H19" s="7" t="s">
        <v>173</v>
      </c>
      <c r="I19" s="5"/>
      <c r="J19" s="5" t="str">
        <f>B19&amp;C19&amp;D19&amp;E19&amp;F19&amp;G19&amp;H19</f>
        <v>0301537795460000000019000000000000000000000000000003202511290100000000000001000000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A20" t="s">
        <v>154</v>
      </c>
      <c r="B20" s="7" t="s">
        <v>158</v>
      </c>
      <c r="C20" s="7" t="s">
        <v>179</v>
      </c>
      <c r="D20" s="6" t="s">
        <v>197</v>
      </c>
      <c r="E20" s="7" t="s">
        <v>177</v>
      </c>
      <c r="F20" s="7" t="s">
        <v>171</v>
      </c>
      <c r="G20" s="7" t="s">
        <v>151</v>
      </c>
      <c r="H20" s="7" t="s">
        <v>173</v>
      </c>
      <c r="I20" s="5"/>
      <c r="J20" s="5" t="str">
        <f>B20&amp;C20&amp;D20&amp;E20&amp;F20&amp;G20&amp;H20</f>
        <v>0301537795460123456785000000000000000000000000000004202511290100000000000001000000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x14ac:dyDescent="0.3">
      <c r="I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3">
      <c r="B22" s="5" t="s">
        <v>146</v>
      </c>
      <c r="C22" s="5" t="s">
        <v>182</v>
      </c>
      <c r="D22" s="5" t="s">
        <v>166</v>
      </c>
      <c r="E22" s="5" t="s">
        <v>167</v>
      </c>
      <c r="F22" s="5" t="s">
        <v>168</v>
      </c>
      <c r="G22" s="5" t="s">
        <v>147</v>
      </c>
      <c r="H22" s="5" t="s">
        <v>149</v>
      </c>
      <c r="I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t="s">
        <v>154</v>
      </c>
      <c r="B23" s="8" t="s">
        <v>159</v>
      </c>
      <c r="C23" s="8" t="s">
        <v>179</v>
      </c>
      <c r="D23" s="8" t="s">
        <v>181</v>
      </c>
      <c r="E23" s="8" t="s">
        <v>183</v>
      </c>
      <c r="F23" s="8" t="s">
        <v>171</v>
      </c>
      <c r="G23" s="8" t="s">
        <v>151</v>
      </c>
      <c r="H23" s="8" t="s">
        <v>173</v>
      </c>
      <c r="I23" s="5"/>
      <c r="J23" s="5" t="str">
        <f>B23&amp;C23&amp;D23&amp;E23&amp;F23&amp;G23&amp;H23</f>
        <v>0401537795460000000019000000000000000000000000000005202511290100000000000001000000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A24" t="s">
        <v>154</v>
      </c>
      <c r="B24" s="8" t="s">
        <v>159</v>
      </c>
      <c r="C24" s="8" t="s">
        <v>179</v>
      </c>
      <c r="D24" s="8" t="s">
        <v>197</v>
      </c>
      <c r="E24" s="8" t="s">
        <v>184</v>
      </c>
      <c r="F24" s="8" t="s">
        <v>171</v>
      </c>
      <c r="G24" s="8" t="s">
        <v>151</v>
      </c>
      <c r="H24" s="8" t="s">
        <v>173</v>
      </c>
      <c r="I24" s="5"/>
      <c r="J24" s="5" t="str">
        <f>B24&amp;C24&amp;D24&amp;E24&amp;F24&amp;G24&amp;H24</f>
        <v>0401537795460123456785000000000000000000000000000006202511290100000000000001000000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I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I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I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3">
      <c r="I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x14ac:dyDescent="0.3">
      <c r="I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3"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x14ac:dyDescent="0.3"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9:35" x14ac:dyDescent="0.3"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9:35" x14ac:dyDescent="0.3"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9:35" x14ac:dyDescent="0.3">
      <c r="I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9:35" x14ac:dyDescent="0.3">
      <c r="I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9:35" x14ac:dyDescent="0.3">
      <c r="I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9:35" x14ac:dyDescent="0.3">
      <c r="I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9:35" x14ac:dyDescent="0.3">
      <c r="I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9:35" x14ac:dyDescent="0.3">
      <c r="I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9:35" x14ac:dyDescent="0.3">
      <c r="I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9:35" x14ac:dyDescent="0.3">
      <c r="I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9:35" x14ac:dyDescent="0.3">
      <c r="I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9:35" x14ac:dyDescent="0.3">
      <c r="I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9:35" x14ac:dyDescent="0.3">
      <c r="I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9:35" x14ac:dyDescent="0.3">
      <c r="I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9:35" x14ac:dyDescent="0.3">
      <c r="I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9:35" x14ac:dyDescent="0.3">
      <c r="I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9:35" x14ac:dyDescent="0.3">
      <c r="I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9:35" x14ac:dyDescent="0.3">
      <c r="I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9:35" x14ac:dyDescent="0.3">
      <c r="I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9:35" x14ac:dyDescent="0.3">
      <c r="I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9:35" x14ac:dyDescent="0.3">
      <c r="I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9:35" x14ac:dyDescent="0.3">
      <c r="I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9:35" x14ac:dyDescent="0.3">
      <c r="I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9:35" x14ac:dyDescent="0.3">
      <c r="I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9:35" x14ac:dyDescent="0.3">
      <c r="I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9:35" x14ac:dyDescent="0.3">
      <c r="I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9:35" x14ac:dyDescent="0.3">
      <c r="I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9:35" x14ac:dyDescent="0.3">
      <c r="I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9:35" x14ac:dyDescent="0.3">
      <c r="I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9:35" x14ac:dyDescent="0.3">
      <c r="I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9:35" x14ac:dyDescent="0.3">
      <c r="I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9:35" x14ac:dyDescent="0.3">
      <c r="I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9:35" x14ac:dyDescent="0.3">
      <c r="I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9:35" x14ac:dyDescent="0.3">
      <c r="I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9:35" x14ac:dyDescent="0.3">
      <c r="I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9:35" x14ac:dyDescent="0.3">
      <c r="I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9:35" x14ac:dyDescent="0.3">
      <c r="I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9:35" x14ac:dyDescent="0.3">
      <c r="I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9:35" x14ac:dyDescent="0.3">
      <c r="I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9:35" x14ac:dyDescent="0.3">
      <c r="I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9:35" x14ac:dyDescent="0.3">
      <c r="I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9:35" x14ac:dyDescent="0.3">
      <c r="I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9:35" x14ac:dyDescent="0.3">
      <c r="I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9:35" x14ac:dyDescent="0.3">
      <c r="I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9:35" x14ac:dyDescent="0.3">
      <c r="I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9:35" x14ac:dyDescent="0.3">
      <c r="I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9:35" x14ac:dyDescent="0.3">
      <c r="I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9:35" x14ac:dyDescent="0.3">
      <c r="I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9:35" x14ac:dyDescent="0.3">
      <c r="I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9:35" x14ac:dyDescent="0.3">
      <c r="I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9:35" x14ac:dyDescent="0.3">
      <c r="I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9:35" x14ac:dyDescent="0.3">
      <c r="I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9:35" x14ac:dyDescent="0.3">
      <c r="I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9:35" x14ac:dyDescent="0.3">
      <c r="I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9:35" x14ac:dyDescent="0.3">
      <c r="I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9:35" x14ac:dyDescent="0.3">
      <c r="I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9:35" x14ac:dyDescent="0.3">
      <c r="I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9:35" x14ac:dyDescent="0.3">
      <c r="I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9:35" x14ac:dyDescent="0.3">
      <c r="I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9:35" x14ac:dyDescent="0.3">
      <c r="I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9:35" x14ac:dyDescent="0.3">
      <c r="I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9:35" x14ac:dyDescent="0.3">
      <c r="I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9:35" x14ac:dyDescent="0.3">
      <c r="I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9:35" x14ac:dyDescent="0.3">
      <c r="I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9:35" x14ac:dyDescent="0.3">
      <c r="I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9:35" x14ac:dyDescent="0.3">
      <c r="I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9:35" x14ac:dyDescent="0.3">
      <c r="I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9:35" x14ac:dyDescent="0.3">
      <c r="I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9:35" x14ac:dyDescent="0.3">
      <c r="I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9:35" x14ac:dyDescent="0.3">
      <c r="I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9:35" x14ac:dyDescent="0.3">
      <c r="I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9:35" x14ac:dyDescent="0.3">
      <c r="I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9:35" x14ac:dyDescent="0.3">
      <c r="I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9:35" x14ac:dyDescent="0.3">
      <c r="I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9:35" x14ac:dyDescent="0.3">
      <c r="I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9:35" x14ac:dyDescent="0.3">
      <c r="I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9:35" x14ac:dyDescent="0.3">
      <c r="I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9:35" x14ac:dyDescent="0.3">
      <c r="I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9:35" x14ac:dyDescent="0.3">
      <c r="I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9:35" x14ac:dyDescent="0.3">
      <c r="I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9:35" x14ac:dyDescent="0.3">
      <c r="I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9:35" x14ac:dyDescent="0.3">
      <c r="I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9:35" x14ac:dyDescent="0.3">
      <c r="I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9:35" x14ac:dyDescent="0.3">
      <c r="I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9:35" x14ac:dyDescent="0.3">
      <c r="I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9:35" x14ac:dyDescent="0.3">
      <c r="I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9:35" x14ac:dyDescent="0.3">
      <c r="I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9:35" x14ac:dyDescent="0.3">
      <c r="I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9:35" x14ac:dyDescent="0.3">
      <c r="I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9:35" x14ac:dyDescent="0.3">
      <c r="I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9:35" x14ac:dyDescent="0.3">
      <c r="I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9:35" x14ac:dyDescent="0.3">
      <c r="I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9:35" x14ac:dyDescent="0.3">
      <c r="I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9:35" x14ac:dyDescent="0.3">
      <c r="I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9:35" x14ac:dyDescent="0.3">
      <c r="I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9:35" x14ac:dyDescent="0.3">
      <c r="I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9:35" x14ac:dyDescent="0.3">
      <c r="I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9:35" x14ac:dyDescent="0.3">
      <c r="I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9:35" x14ac:dyDescent="0.3">
      <c r="I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9:35" x14ac:dyDescent="0.3">
      <c r="I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9:35" x14ac:dyDescent="0.3">
      <c r="I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9:35" x14ac:dyDescent="0.3">
      <c r="I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9:35" x14ac:dyDescent="0.3">
      <c r="I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9:35" x14ac:dyDescent="0.3">
      <c r="I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9:35" x14ac:dyDescent="0.3">
      <c r="I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9:35" x14ac:dyDescent="0.3">
      <c r="I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9:35" x14ac:dyDescent="0.3">
      <c r="I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9:35" x14ac:dyDescent="0.3">
      <c r="I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9:35" x14ac:dyDescent="0.3">
      <c r="I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9:35" x14ac:dyDescent="0.3">
      <c r="I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9:35" x14ac:dyDescent="0.3">
      <c r="I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9:35" x14ac:dyDescent="0.3">
      <c r="I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9:35" x14ac:dyDescent="0.3">
      <c r="I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9:35" x14ac:dyDescent="0.3">
      <c r="I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9:35" x14ac:dyDescent="0.3">
      <c r="I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9:35" x14ac:dyDescent="0.3">
      <c r="I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9:35" x14ac:dyDescent="0.3">
      <c r="I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9:35" x14ac:dyDescent="0.3">
      <c r="I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9:35" x14ac:dyDescent="0.3">
      <c r="I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9:35" x14ac:dyDescent="0.3">
      <c r="I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9:35" x14ac:dyDescent="0.3">
      <c r="I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9:35" x14ac:dyDescent="0.3">
      <c r="I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9:35" x14ac:dyDescent="0.3">
      <c r="I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9:35" x14ac:dyDescent="0.3">
      <c r="I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9:35" x14ac:dyDescent="0.3">
      <c r="I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9:35" x14ac:dyDescent="0.3">
      <c r="I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9:35" x14ac:dyDescent="0.3">
      <c r="I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9:35" x14ac:dyDescent="0.3">
      <c r="I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9:35" x14ac:dyDescent="0.3">
      <c r="I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9:35" x14ac:dyDescent="0.3">
      <c r="I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9:35" x14ac:dyDescent="0.3">
      <c r="I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9:35" x14ac:dyDescent="0.3">
      <c r="I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9:35" x14ac:dyDescent="0.3">
      <c r="I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9:35" x14ac:dyDescent="0.3">
      <c r="I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9:35" x14ac:dyDescent="0.3">
      <c r="I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BD49-39B2-4CC2-BBC5-8247535F9EFB}">
  <dimension ref="A3:AI183"/>
  <sheetViews>
    <sheetView topLeftCell="B42" workbookViewId="0">
      <selection activeCell="E50" sqref="E50"/>
    </sheetView>
  </sheetViews>
  <sheetFormatPr defaultRowHeight="14.4" x14ac:dyDescent="0.3"/>
  <cols>
    <col min="1" max="1" width="19.109375" style="9" bestFit="1" customWidth="1"/>
    <col min="2" max="2" width="179" style="5" bestFit="1" customWidth="1"/>
    <col min="3" max="3" width="14.44140625" style="5" bestFit="1" customWidth="1"/>
    <col min="4" max="4" width="31" style="5" customWidth="1"/>
    <col min="5" max="5" width="31.5546875" style="5" bestFit="1" customWidth="1"/>
    <col min="6" max="6" width="25.88671875" style="5" bestFit="1" customWidth="1"/>
    <col min="7" max="7" width="14.44140625" style="5" bestFit="1" customWidth="1"/>
    <col min="8" max="8" width="21.33203125" style="5" bestFit="1" customWidth="1"/>
  </cols>
  <sheetData>
    <row r="3" spans="1:10" x14ac:dyDescent="0.3">
      <c r="A3" s="9" t="s">
        <v>187</v>
      </c>
    </row>
    <row r="4" spans="1:10" x14ac:dyDescent="0.3">
      <c r="A4" s="9">
        <v>1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H4">
        <f>LEN(J4)</f>
        <v>81</v>
      </c>
      <c r="I4" s="5" t="s">
        <v>185</v>
      </c>
      <c r="J4" t="s">
        <v>186</v>
      </c>
    </row>
    <row r="5" spans="1:10" x14ac:dyDescent="0.3">
      <c r="A5" s="9">
        <v>2</v>
      </c>
      <c r="B5" s="5" t="s">
        <v>151</v>
      </c>
      <c r="C5" s="5" t="s">
        <v>151</v>
      </c>
      <c r="D5" s="5" t="s">
        <v>151</v>
      </c>
      <c r="E5" s="10" t="s">
        <v>157</v>
      </c>
      <c r="F5" s="5" t="s">
        <v>153</v>
      </c>
      <c r="J5" s="5" t="str">
        <f>B5&amp;C5&amp;D5&amp;E5&amp;F5</f>
        <v xml:space="preserve">01010100000000000001000000+                                                       </v>
      </c>
    </row>
    <row r="6" spans="1:10" x14ac:dyDescent="0.3">
      <c r="A6" s="9">
        <v>3</v>
      </c>
      <c r="B6" s="5" t="s">
        <v>151</v>
      </c>
      <c r="C6" s="10" t="s">
        <v>165</v>
      </c>
      <c r="D6" s="5" t="s">
        <v>156</v>
      </c>
      <c r="E6" s="10" t="s">
        <v>152</v>
      </c>
      <c r="F6" s="5" t="s">
        <v>153</v>
      </c>
      <c r="J6" s="5" t="str">
        <f t="shared" ref="J6:J16" si="0">B6&amp;C6&amp;D6&amp;E6&amp;F6</f>
        <v xml:space="preserve">01420200000000000001000000-                                                       </v>
      </c>
    </row>
    <row r="7" spans="1:10" x14ac:dyDescent="0.3">
      <c r="A7" s="9">
        <v>4</v>
      </c>
      <c r="B7" s="5" t="s">
        <v>151</v>
      </c>
      <c r="C7" s="5" t="s">
        <v>151</v>
      </c>
      <c r="D7" s="5" t="s">
        <v>158</v>
      </c>
      <c r="E7" s="5" t="s">
        <v>152</v>
      </c>
      <c r="F7" s="10" t="s">
        <v>196</v>
      </c>
      <c r="J7" s="5" t="str">
        <f t="shared" si="0"/>
        <v xml:space="preserve">01010300000000000001000000-                                                    </v>
      </c>
    </row>
    <row r="8" spans="1:10" x14ac:dyDescent="0.3">
      <c r="A8" s="9">
        <v>5</v>
      </c>
      <c r="B8" s="7" t="s">
        <v>151</v>
      </c>
      <c r="C8" s="7" t="s">
        <v>151</v>
      </c>
      <c r="D8" s="7" t="s">
        <v>159</v>
      </c>
      <c r="E8" s="10" t="s">
        <v>157</v>
      </c>
      <c r="F8" s="7" t="s">
        <v>153</v>
      </c>
      <c r="J8" s="5" t="str">
        <f t="shared" si="0"/>
        <v xml:space="preserve">01010400000000000001000000+                                                       </v>
      </c>
    </row>
    <row r="9" spans="1:10" x14ac:dyDescent="0.3">
      <c r="A9" s="9">
        <v>6</v>
      </c>
      <c r="B9" s="8" t="s">
        <v>151</v>
      </c>
      <c r="C9" s="8" t="s">
        <v>151</v>
      </c>
      <c r="D9" s="8" t="s">
        <v>160</v>
      </c>
      <c r="E9" s="10" t="s">
        <v>152</v>
      </c>
      <c r="F9" s="8" t="s">
        <v>153</v>
      </c>
      <c r="J9" s="5" t="str">
        <f t="shared" si="0"/>
        <v xml:space="preserve">01010500000000000001000000-                                                       </v>
      </c>
    </row>
    <row r="10" spans="1:10" x14ac:dyDescent="0.3">
      <c r="A10" s="9">
        <v>7</v>
      </c>
      <c r="B10" s="7" t="s">
        <v>151</v>
      </c>
      <c r="C10" s="7" t="s">
        <v>151</v>
      </c>
      <c r="D10" s="7" t="s">
        <v>161</v>
      </c>
      <c r="E10" s="10" t="s">
        <v>157</v>
      </c>
      <c r="F10" s="7" t="s">
        <v>153</v>
      </c>
      <c r="J10" s="5" t="str">
        <f t="shared" si="0"/>
        <v xml:space="preserve">01010600000000000001000000+                                                       </v>
      </c>
    </row>
    <row r="11" spans="1:10" x14ac:dyDescent="0.3">
      <c r="A11" s="9">
        <v>8</v>
      </c>
      <c r="B11" s="8" t="s">
        <v>151</v>
      </c>
      <c r="C11" s="8" t="s">
        <v>151</v>
      </c>
      <c r="D11" s="8" t="s">
        <v>162</v>
      </c>
      <c r="E11" s="10" t="s">
        <v>152</v>
      </c>
      <c r="F11" s="8" t="s">
        <v>153</v>
      </c>
      <c r="J11" s="5" t="str">
        <f t="shared" si="0"/>
        <v xml:space="preserve">01010700000000000001000000-                                                       </v>
      </c>
    </row>
    <row r="12" spans="1:10" x14ac:dyDescent="0.3">
      <c r="A12" s="9">
        <v>9</v>
      </c>
      <c r="B12" s="6" t="s">
        <v>151</v>
      </c>
      <c r="C12" s="6" t="s">
        <v>151</v>
      </c>
      <c r="D12" s="6" t="s">
        <v>163</v>
      </c>
      <c r="E12" s="10" t="s">
        <v>157</v>
      </c>
      <c r="F12" s="6" t="s">
        <v>153</v>
      </c>
      <c r="J12" s="5" t="str">
        <f t="shared" si="0"/>
        <v xml:space="preserve">01010800000000000001000000+                                                       </v>
      </c>
    </row>
    <row r="13" spans="1:10" x14ac:dyDescent="0.3">
      <c r="A13" s="9">
        <v>10</v>
      </c>
      <c r="B13" s="5" t="s">
        <v>151</v>
      </c>
      <c r="C13" s="10" t="s">
        <v>194</v>
      </c>
      <c r="D13" s="5" t="s">
        <v>164</v>
      </c>
      <c r="E13" s="10" t="s">
        <v>195</v>
      </c>
      <c r="F13" s="5" t="s">
        <v>153</v>
      </c>
      <c r="J13" s="5" t="str">
        <f t="shared" si="0"/>
        <v xml:space="preserve">019909-00000000000001000000                                                       </v>
      </c>
    </row>
    <row r="14" spans="1:10" x14ac:dyDescent="0.3">
      <c r="A14" s="9">
        <v>11</v>
      </c>
      <c r="B14" s="6" t="s">
        <v>151</v>
      </c>
      <c r="C14" s="6" t="s">
        <v>151</v>
      </c>
      <c r="D14" s="6" t="s">
        <v>24</v>
      </c>
      <c r="E14" s="10" t="s">
        <v>157</v>
      </c>
      <c r="F14" s="6" t="s">
        <v>153</v>
      </c>
      <c r="J14" s="5" t="str">
        <f t="shared" si="0"/>
        <v xml:space="preserve">01011000000000000001000000+                                                       </v>
      </c>
    </row>
    <row r="15" spans="1:10" x14ac:dyDescent="0.3">
      <c r="J15" s="5" t="str">
        <f t="shared" si="0"/>
        <v/>
      </c>
    </row>
    <row r="16" spans="1:10" x14ac:dyDescent="0.3">
      <c r="J16" s="5" t="str">
        <f t="shared" si="0"/>
        <v/>
      </c>
    </row>
    <row r="17" spans="1:35" x14ac:dyDescent="0.3">
      <c r="B17" s="5" t="s">
        <v>146</v>
      </c>
      <c r="C17" s="5" t="s">
        <v>166</v>
      </c>
      <c r="D17" s="5" t="s">
        <v>167</v>
      </c>
      <c r="E17" s="5" t="s">
        <v>168</v>
      </c>
      <c r="F17" s="5" t="s">
        <v>147</v>
      </c>
      <c r="G17" s="5" t="s">
        <v>169</v>
      </c>
      <c r="H17" s="5" t="s">
        <v>149</v>
      </c>
      <c r="I17" s="5" t="s">
        <v>150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9">
        <v>12</v>
      </c>
      <c r="B18" s="6" t="s">
        <v>156</v>
      </c>
      <c r="C18" s="6" t="s">
        <v>181</v>
      </c>
      <c r="D18" s="6" t="s">
        <v>170</v>
      </c>
      <c r="E18" s="10" t="s">
        <v>192</v>
      </c>
      <c r="F18" s="6" t="s">
        <v>151</v>
      </c>
      <c r="G18" s="6" t="s">
        <v>172</v>
      </c>
      <c r="H18" s="10" t="s">
        <v>198</v>
      </c>
      <c r="I18" s="6" t="s">
        <v>174</v>
      </c>
      <c r="J18" s="5" t="str">
        <f>B18&amp;C18&amp;D18&amp;E18&amp;F18&amp;G18&amp;H18&amp;I18</f>
        <v xml:space="preserve">02000000001900000000000000000000000000000129112025010000001000000001000000        </v>
      </c>
      <c r="K18" s="5"/>
      <c r="L18" s="5"/>
      <c r="M18" s="5"/>
      <c r="N18" s="5"/>
      <c r="O18" s="5"/>
      <c r="P18" s="5"/>
      <c r="Q18" s="5"/>
      <c r="R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3">
      <c r="A19" s="9">
        <v>13</v>
      </c>
      <c r="B19" s="6" t="s">
        <v>156</v>
      </c>
      <c r="C19" s="10" t="s">
        <v>180</v>
      </c>
      <c r="D19" s="6" t="s">
        <v>175</v>
      </c>
      <c r="E19" s="6" t="s">
        <v>171</v>
      </c>
      <c r="F19" s="10" t="s">
        <v>194</v>
      </c>
      <c r="G19" s="10" t="s">
        <v>199</v>
      </c>
      <c r="H19" s="6" t="s">
        <v>173</v>
      </c>
      <c r="I19" s="10" t="s">
        <v>193</v>
      </c>
      <c r="J19" s="5" t="str">
        <f>B19&amp;C19&amp;D19&amp;E19&amp;F19&amp;G19&amp;H19&amp;I19</f>
        <v xml:space="preserve">02012345678900000000000000000000000000000220251129991      00000000000001000000  </v>
      </c>
      <c r="K19" s="5"/>
      <c r="L19" s="5"/>
      <c r="M19" s="5"/>
      <c r="N19" s="5"/>
      <c r="O19" s="5"/>
      <c r="P19" s="5"/>
      <c r="Q19" s="5"/>
      <c r="R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B20"/>
      <c r="C20"/>
      <c r="D20"/>
      <c r="E20"/>
      <c r="F20"/>
      <c r="G20"/>
      <c r="H20"/>
    </row>
    <row r="21" spans="1:35" x14ac:dyDescent="0.3">
      <c r="B21" s="5" t="s">
        <v>146</v>
      </c>
      <c r="C21" s="5" t="s">
        <v>178</v>
      </c>
      <c r="D21" s="5" t="s">
        <v>166</v>
      </c>
      <c r="E21" s="5" t="s">
        <v>167</v>
      </c>
      <c r="F21" s="5" t="s">
        <v>168</v>
      </c>
      <c r="G21" s="5" t="s">
        <v>147</v>
      </c>
      <c r="H21" s="5" t="s">
        <v>149</v>
      </c>
      <c r="I21" s="5"/>
    </row>
    <row r="22" spans="1:35" x14ac:dyDescent="0.3">
      <c r="A22" s="9">
        <v>14</v>
      </c>
      <c r="B22" s="7" t="s">
        <v>158</v>
      </c>
      <c r="C22" s="7" t="s">
        <v>179</v>
      </c>
      <c r="D22" s="7" t="s">
        <v>181</v>
      </c>
      <c r="E22" s="7" t="s">
        <v>176</v>
      </c>
      <c r="F22" s="10" t="s">
        <v>192</v>
      </c>
      <c r="G22" s="7" t="s">
        <v>151</v>
      </c>
      <c r="H22" s="7" t="s">
        <v>173</v>
      </c>
      <c r="I22" s="5"/>
      <c r="J22" s="5" t="str">
        <f>B22&amp;C22&amp;D22&amp;E22&amp;F22&amp;G22&amp;H22</f>
        <v>0301537795460000000019000000000000000000000000000003291120250100000000000001000000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s="9">
        <v>15</v>
      </c>
      <c r="B23" s="7" t="s">
        <v>158</v>
      </c>
      <c r="C23" s="7" t="s">
        <v>179</v>
      </c>
      <c r="D23" s="10" t="s">
        <v>180</v>
      </c>
      <c r="E23" s="7" t="s">
        <v>177</v>
      </c>
      <c r="F23" s="7" t="s">
        <v>171</v>
      </c>
      <c r="G23" s="10" t="s">
        <v>194</v>
      </c>
      <c r="H23" s="7" t="s">
        <v>173</v>
      </c>
      <c r="I23" s="5"/>
      <c r="J23" s="5" t="str">
        <f>B23&amp;C23&amp;D23&amp;E23&amp;F23&amp;G23&amp;H23</f>
        <v>0301537795460123456789000000000000000000000000000004202511299900000000000001000000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I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B25" s="5" t="s">
        <v>146</v>
      </c>
      <c r="C25" s="5" t="s">
        <v>182</v>
      </c>
      <c r="D25" s="5" t="s">
        <v>166</v>
      </c>
      <c r="E25" s="5" t="s">
        <v>167</v>
      </c>
      <c r="F25" s="5" t="s">
        <v>168</v>
      </c>
      <c r="G25" s="5" t="s">
        <v>147</v>
      </c>
      <c r="H25" s="5" t="s">
        <v>149</v>
      </c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A26" s="9">
        <v>16</v>
      </c>
      <c r="B26" s="8" t="s">
        <v>159</v>
      </c>
      <c r="C26" s="8" t="s">
        <v>179</v>
      </c>
      <c r="D26" s="8" t="s">
        <v>181</v>
      </c>
      <c r="E26" s="8" t="s">
        <v>183</v>
      </c>
      <c r="F26" s="8" t="s">
        <v>171</v>
      </c>
      <c r="G26" s="8" t="s">
        <v>151</v>
      </c>
      <c r="H26" s="8" t="s">
        <v>173</v>
      </c>
      <c r="I26" s="5"/>
      <c r="J26" s="5" t="str">
        <f>B26&amp;C26&amp;D26&amp;E26&amp;F26&amp;G26&amp;H26</f>
        <v>0401537795460000000019000000000000000000000000000005202511290100000000000001000000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A27" s="9">
        <v>17</v>
      </c>
      <c r="B27" s="8" t="s">
        <v>159</v>
      </c>
      <c r="C27" s="8" t="s">
        <v>179</v>
      </c>
      <c r="D27" s="10" t="s">
        <v>180</v>
      </c>
      <c r="E27" s="8" t="s">
        <v>184</v>
      </c>
      <c r="F27" s="8" t="s">
        <v>171</v>
      </c>
      <c r="G27" s="10" t="s">
        <v>194</v>
      </c>
      <c r="H27" s="8" t="s">
        <v>173</v>
      </c>
      <c r="I27" s="5"/>
      <c r="J27" s="5" t="str">
        <f>B27&amp;C27&amp;D27&amp;E27&amp;F27&amp;G27&amp;H27</f>
        <v>0401537795460123456789000000000000000000000000000006202511299900000000000001000000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I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3">
      <c r="A29" s="9">
        <v>18</v>
      </c>
      <c r="B29" s="8" t="s">
        <v>160</v>
      </c>
      <c r="C29" s="8" t="s">
        <v>179</v>
      </c>
      <c r="D29" s="11" t="s">
        <v>180</v>
      </c>
      <c r="E29" s="8" t="s">
        <v>184</v>
      </c>
      <c r="F29" s="8" t="s">
        <v>171</v>
      </c>
      <c r="G29" s="11" t="s">
        <v>27</v>
      </c>
      <c r="H29" s="8" t="s">
        <v>173</v>
      </c>
      <c r="I29" s="5"/>
      <c r="J29" s="5" t="str">
        <f>B29&amp;C29&amp;D29&amp;E29&amp;F29&amp;G29&amp;H29</f>
        <v>0501537795460123456789000000000000000000000000000006202511291100000000000001000000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x14ac:dyDescent="0.3">
      <c r="I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3"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x14ac:dyDescent="0.3">
      <c r="A32" s="1" t="s">
        <v>0</v>
      </c>
      <c r="B32" s="2" t="s">
        <v>1</v>
      </c>
      <c r="C32" s="5" t="s">
        <v>188</v>
      </c>
      <c r="D32" s="5" t="s">
        <v>189</v>
      </c>
      <c r="E32" s="5" t="s">
        <v>191</v>
      </c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" x14ac:dyDescent="0.3">
      <c r="A33" s="1" t="s">
        <v>4</v>
      </c>
      <c r="B33" s="2" t="s">
        <v>30</v>
      </c>
      <c r="C33" s="5" t="s">
        <v>4</v>
      </c>
      <c r="D33" s="5" t="s">
        <v>190</v>
      </c>
      <c r="E33" s="5" t="s">
        <v>190</v>
      </c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" x14ac:dyDescent="0.3">
      <c r="A34" s="2" t="s">
        <v>7</v>
      </c>
      <c r="B34" s="2" t="s">
        <v>8</v>
      </c>
      <c r="C34" s="5" t="s">
        <v>4</v>
      </c>
      <c r="D34" s="5" t="s">
        <v>190</v>
      </c>
      <c r="E34" s="5" t="s">
        <v>190</v>
      </c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x14ac:dyDescent="0.3">
      <c r="A35" s="2" t="s">
        <v>9</v>
      </c>
      <c r="B35" s="2" t="s">
        <v>10</v>
      </c>
      <c r="C35" s="5" t="s">
        <v>4</v>
      </c>
      <c r="D35" s="5" t="s">
        <v>190</v>
      </c>
      <c r="E35" s="5" t="s">
        <v>190</v>
      </c>
      <c r="I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" x14ac:dyDescent="0.3">
      <c r="A36" s="2" t="s">
        <v>9</v>
      </c>
      <c r="B36" s="2" t="s">
        <v>10</v>
      </c>
      <c r="C36" s="5" t="s">
        <v>12</v>
      </c>
      <c r="D36" s="5" t="s">
        <v>190</v>
      </c>
      <c r="E36" s="5" t="s">
        <v>190</v>
      </c>
      <c r="I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" x14ac:dyDescent="0.3">
      <c r="A37" s="2" t="s">
        <v>9</v>
      </c>
      <c r="B37" s="2" t="s">
        <v>10</v>
      </c>
      <c r="C37" s="5" t="s">
        <v>32</v>
      </c>
      <c r="D37" s="5" t="s">
        <v>190</v>
      </c>
      <c r="E37" s="5" t="s">
        <v>190</v>
      </c>
      <c r="I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" x14ac:dyDescent="0.3">
      <c r="A38" s="2" t="s">
        <v>12</v>
      </c>
      <c r="B38" s="2" t="s">
        <v>11</v>
      </c>
      <c r="C38" s="5" t="s">
        <v>32</v>
      </c>
      <c r="D38" s="5" t="s">
        <v>190</v>
      </c>
      <c r="E38" s="5" t="s">
        <v>190</v>
      </c>
      <c r="I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" x14ac:dyDescent="0.3">
      <c r="A39" s="2" t="s">
        <v>12</v>
      </c>
      <c r="B39" s="2" t="s">
        <v>11</v>
      </c>
      <c r="C39" s="5" t="s">
        <v>60</v>
      </c>
      <c r="D39" s="5" t="s">
        <v>190</v>
      </c>
      <c r="E39" s="5" t="s">
        <v>190</v>
      </c>
      <c r="I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" x14ac:dyDescent="0.3">
      <c r="A40" s="2" t="s">
        <v>12</v>
      </c>
      <c r="B40" s="2" t="s">
        <v>11</v>
      </c>
      <c r="C40" s="5" t="s">
        <v>69</v>
      </c>
      <c r="D40" s="5" t="s">
        <v>190</v>
      </c>
      <c r="E40" s="5" t="s">
        <v>190</v>
      </c>
      <c r="I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" x14ac:dyDescent="0.3">
      <c r="A41" s="2" t="s">
        <v>12</v>
      </c>
      <c r="B41" s="2" t="s">
        <v>11</v>
      </c>
      <c r="C41" s="5" t="s">
        <v>70</v>
      </c>
      <c r="D41" s="5" t="s">
        <v>203</v>
      </c>
      <c r="I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" x14ac:dyDescent="0.3">
      <c r="A42" s="2" t="s">
        <v>20</v>
      </c>
      <c r="B42" s="2" t="s">
        <v>21</v>
      </c>
      <c r="C42" s="5" t="s">
        <v>69</v>
      </c>
      <c r="D42" s="5" t="s">
        <v>190</v>
      </c>
      <c r="E42" s="5" t="s">
        <v>190</v>
      </c>
      <c r="I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" x14ac:dyDescent="0.3">
      <c r="A43" s="2" t="s">
        <v>20</v>
      </c>
      <c r="B43" s="2" t="s">
        <v>21</v>
      </c>
      <c r="C43" s="5" t="s">
        <v>32</v>
      </c>
      <c r="D43" s="5" t="s">
        <v>190</v>
      </c>
      <c r="E43" s="5" t="s">
        <v>190</v>
      </c>
      <c r="I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" x14ac:dyDescent="0.3">
      <c r="A44" s="2" t="s">
        <v>20</v>
      </c>
      <c r="B44" s="2" t="s">
        <v>21</v>
      </c>
      <c r="C44" s="5" t="s">
        <v>60</v>
      </c>
      <c r="D44" s="5" t="s">
        <v>190</v>
      </c>
      <c r="E44" s="5" t="s">
        <v>190</v>
      </c>
      <c r="I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" x14ac:dyDescent="0.3">
      <c r="A45" s="2" t="s">
        <v>20</v>
      </c>
      <c r="B45" s="2" t="s">
        <v>21</v>
      </c>
      <c r="C45" s="5" t="s">
        <v>24</v>
      </c>
      <c r="D45" s="5" t="s">
        <v>190</v>
      </c>
      <c r="E45" s="5" t="s">
        <v>190</v>
      </c>
      <c r="I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x14ac:dyDescent="0.3">
      <c r="A46" s="2" t="s">
        <v>22</v>
      </c>
      <c r="B46" s="2" t="s">
        <v>23</v>
      </c>
      <c r="C46" s="5" t="s">
        <v>4</v>
      </c>
      <c r="D46" s="5" t="s">
        <v>190</v>
      </c>
      <c r="E46" s="5" t="s">
        <v>190</v>
      </c>
      <c r="I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" x14ac:dyDescent="0.3">
      <c r="A47" s="2" t="s">
        <v>22</v>
      </c>
      <c r="B47" s="2" t="s">
        <v>23</v>
      </c>
      <c r="C47" s="5" t="s">
        <v>28</v>
      </c>
      <c r="D47" s="5" t="s">
        <v>190</v>
      </c>
      <c r="E47" s="5" t="s">
        <v>190</v>
      </c>
      <c r="I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" x14ac:dyDescent="0.3">
      <c r="A48" s="2" t="s">
        <v>22</v>
      </c>
      <c r="B48" s="2" t="s">
        <v>23</v>
      </c>
      <c r="C48" s="5" t="s">
        <v>58</v>
      </c>
      <c r="D48" s="5" t="s">
        <v>190</v>
      </c>
      <c r="E48" s="5" t="s">
        <v>190</v>
      </c>
      <c r="I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x14ac:dyDescent="0.3">
      <c r="A49" s="2" t="s">
        <v>24</v>
      </c>
      <c r="B49" s="2" t="s">
        <v>25</v>
      </c>
      <c r="C49" s="5" t="s">
        <v>32</v>
      </c>
      <c r="D49" s="5" t="s">
        <v>190</v>
      </c>
      <c r="E49" s="5" t="s">
        <v>190</v>
      </c>
      <c r="I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x14ac:dyDescent="0.3">
      <c r="A50" s="2" t="s">
        <v>24</v>
      </c>
      <c r="B50" s="2" t="s">
        <v>25</v>
      </c>
      <c r="C50" s="5" t="s">
        <v>28</v>
      </c>
      <c r="D50" s="5" t="s">
        <v>190</v>
      </c>
      <c r="E50" s="5" t="s">
        <v>190</v>
      </c>
      <c r="I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x14ac:dyDescent="0.3">
      <c r="A51" s="2" t="s">
        <v>27</v>
      </c>
      <c r="B51" s="2" t="s">
        <v>26</v>
      </c>
      <c r="C51" s="5" t="s">
        <v>24</v>
      </c>
      <c r="D51" s="5" t="s">
        <v>190</v>
      </c>
      <c r="E51" s="5" t="s">
        <v>190</v>
      </c>
      <c r="I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x14ac:dyDescent="0.3">
      <c r="A52" s="2" t="s">
        <v>58</v>
      </c>
      <c r="B52" s="2" t="s">
        <v>59</v>
      </c>
      <c r="C52" s="5" t="s">
        <v>70</v>
      </c>
      <c r="D52" s="5" t="s">
        <v>190</v>
      </c>
      <c r="E52" s="5" t="s">
        <v>190</v>
      </c>
      <c r="I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x14ac:dyDescent="0.3">
      <c r="A53" s="2" t="s">
        <v>60</v>
      </c>
      <c r="B53" s="2" t="s">
        <v>61</v>
      </c>
      <c r="C53" s="5" t="s">
        <v>70</v>
      </c>
      <c r="D53" s="5" t="s">
        <v>203</v>
      </c>
      <c r="I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x14ac:dyDescent="0.3">
      <c r="A54" s="2" t="s">
        <v>65</v>
      </c>
      <c r="B54" s="2" t="s">
        <v>67</v>
      </c>
      <c r="C54" s="5" t="s">
        <v>4</v>
      </c>
      <c r="D54" s="5" t="s">
        <v>190</v>
      </c>
      <c r="E54" s="5" t="s">
        <v>190</v>
      </c>
      <c r="I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x14ac:dyDescent="0.3">
      <c r="A55" s="2" t="s">
        <v>65</v>
      </c>
      <c r="B55" s="2" t="s">
        <v>67</v>
      </c>
      <c r="C55" s="5" t="s">
        <v>32</v>
      </c>
      <c r="D55" s="5" t="s">
        <v>190</v>
      </c>
      <c r="E55" s="5" t="s">
        <v>190</v>
      </c>
      <c r="I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" x14ac:dyDescent="0.3">
      <c r="A56" s="2" t="s">
        <v>65</v>
      </c>
      <c r="B56" s="2" t="s">
        <v>67</v>
      </c>
      <c r="C56" s="5" t="s">
        <v>12</v>
      </c>
      <c r="D56" s="5" t="s">
        <v>190</v>
      </c>
      <c r="E56" s="5" t="s">
        <v>190</v>
      </c>
      <c r="I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x14ac:dyDescent="0.3">
      <c r="A57" s="2" t="s">
        <v>97</v>
      </c>
      <c r="B57" s="2" t="s">
        <v>98</v>
      </c>
      <c r="C57" s="5" t="s">
        <v>9</v>
      </c>
      <c r="D57" s="5" t="s">
        <v>190</v>
      </c>
      <c r="E57" s="5" t="s">
        <v>190</v>
      </c>
      <c r="I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x14ac:dyDescent="0.3">
      <c r="A58" s="2" t="s">
        <v>101</v>
      </c>
      <c r="B58" s="2" t="s">
        <v>102</v>
      </c>
      <c r="C58" s="5" t="s">
        <v>7</v>
      </c>
      <c r="D58" s="5" t="s">
        <v>190</v>
      </c>
      <c r="E58" s="5" t="s">
        <v>190</v>
      </c>
      <c r="I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x14ac:dyDescent="0.3">
      <c r="A59" s="2" t="s">
        <v>104</v>
      </c>
      <c r="B59" s="2" t="s">
        <v>105</v>
      </c>
      <c r="C59" s="5" t="s">
        <v>9</v>
      </c>
      <c r="D59" s="5" t="s">
        <v>190</v>
      </c>
      <c r="E59" s="5" t="s">
        <v>190</v>
      </c>
      <c r="I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x14ac:dyDescent="0.3">
      <c r="A60" s="2" t="s">
        <v>108</v>
      </c>
      <c r="B60" s="2" t="s">
        <v>107</v>
      </c>
      <c r="C60" s="5" t="s">
        <v>15</v>
      </c>
      <c r="D60" s="5" t="s">
        <v>190</v>
      </c>
      <c r="E60" s="5" t="s">
        <v>190</v>
      </c>
      <c r="I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x14ac:dyDescent="0.3">
      <c r="A61" s="2" t="s">
        <v>110</v>
      </c>
      <c r="B61" s="2" t="s">
        <v>111</v>
      </c>
      <c r="C61" s="5" t="s">
        <v>17</v>
      </c>
      <c r="D61" s="5" t="s">
        <v>190</v>
      </c>
      <c r="E61" s="5" t="s">
        <v>190</v>
      </c>
      <c r="I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x14ac:dyDescent="0.3">
      <c r="A62" s="2" t="s">
        <v>114</v>
      </c>
      <c r="B62" s="2" t="s">
        <v>113</v>
      </c>
      <c r="C62" s="5" t="s">
        <v>19</v>
      </c>
      <c r="D62" s="5" t="s">
        <v>190</v>
      </c>
      <c r="E62" s="5" t="s">
        <v>190</v>
      </c>
      <c r="I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x14ac:dyDescent="0.3">
      <c r="A63" s="2" t="s">
        <v>116</v>
      </c>
      <c r="B63" s="2" t="s">
        <v>117</v>
      </c>
      <c r="C63" s="5" t="s">
        <v>20</v>
      </c>
      <c r="D63" s="5" t="s">
        <v>190</v>
      </c>
      <c r="E63" s="5" t="s">
        <v>190</v>
      </c>
      <c r="I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x14ac:dyDescent="0.3">
      <c r="A64" s="2" t="s">
        <v>119</v>
      </c>
      <c r="B64" s="2" t="s">
        <v>120</v>
      </c>
      <c r="C64" s="5" t="s">
        <v>22</v>
      </c>
      <c r="D64" s="5" t="s">
        <v>190</v>
      </c>
      <c r="E64" s="5" t="s">
        <v>190</v>
      </c>
      <c r="I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x14ac:dyDescent="0.3">
      <c r="A65" s="2" t="s">
        <v>122</v>
      </c>
      <c r="B65" s="2" t="s">
        <v>123</v>
      </c>
      <c r="C65" s="5" t="s">
        <v>24</v>
      </c>
      <c r="D65" s="5" t="s">
        <v>190</v>
      </c>
      <c r="E65" s="5" t="s">
        <v>190</v>
      </c>
      <c r="I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x14ac:dyDescent="0.3">
      <c r="A66" s="2" t="s">
        <v>125</v>
      </c>
      <c r="B66" s="2" t="s">
        <v>126</v>
      </c>
      <c r="C66" s="5" t="s">
        <v>27</v>
      </c>
      <c r="D66" s="5" t="s">
        <v>190</v>
      </c>
      <c r="E66" s="5" t="s">
        <v>190</v>
      </c>
      <c r="I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x14ac:dyDescent="0.3">
      <c r="A67" s="2" t="s">
        <v>128</v>
      </c>
      <c r="B67" s="2" t="s">
        <v>129</v>
      </c>
      <c r="D67" s="5" t="s">
        <v>200</v>
      </c>
      <c r="I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x14ac:dyDescent="0.3">
      <c r="A68" s="2" t="s">
        <v>131</v>
      </c>
      <c r="B68" s="2" t="s">
        <v>130</v>
      </c>
      <c r="D68" s="5" t="s">
        <v>200</v>
      </c>
      <c r="I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x14ac:dyDescent="0.3">
      <c r="A69" s="2" t="s">
        <v>134</v>
      </c>
      <c r="B69" s="2" t="s">
        <v>133</v>
      </c>
      <c r="D69" s="5" t="s">
        <v>200</v>
      </c>
      <c r="I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x14ac:dyDescent="0.3">
      <c r="A70" s="2" t="s">
        <v>136</v>
      </c>
      <c r="B70" s="2" t="s">
        <v>135</v>
      </c>
      <c r="D70" s="5" t="s">
        <v>200</v>
      </c>
      <c r="I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x14ac:dyDescent="0.3">
      <c r="A71" s="2" t="s">
        <v>139</v>
      </c>
      <c r="B71" s="2" t="s">
        <v>138</v>
      </c>
      <c r="D71" s="5" t="s">
        <v>200</v>
      </c>
      <c r="I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x14ac:dyDescent="0.3">
      <c r="A72" s="2" t="s">
        <v>144</v>
      </c>
      <c r="B72" s="2" t="s">
        <v>143</v>
      </c>
      <c r="D72" s="5" t="s">
        <v>200</v>
      </c>
      <c r="I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x14ac:dyDescent="0.3">
      <c r="I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x14ac:dyDescent="0.3">
      <c r="I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x14ac:dyDescent="0.3">
      <c r="I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x14ac:dyDescent="0.3">
      <c r="I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x14ac:dyDescent="0.3">
      <c r="I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x14ac:dyDescent="0.3">
      <c r="I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x14ac:dyDescent="0.3">
      <c r="I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x14ac:dyDescent="0.3">
      <c r="I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9:35" x14ac:dyDescent="0.3">
      <c r="I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9:35" x14ac:dyDescent="0.3">
      <c r="I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9:35" x14ac:dyDescent="0.3">
      <c r="I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9:35" x14ac:dyDescent="0.3">
      <c r="I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9:35" x14ac:dyDescent="0.3">
      <c r="I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9:35" x14ac:dyDescent="0.3">
      <c r="I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9:35" x14ac:dyDescent="0.3">
      <c r="I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9:35" x14ac:dyDescent="0.3">
      <c r="I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9:35" x14ac:dyDescent="0.3">
      <c r="I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9:35" x14ac:dyDescent="0.3">
      <c r="I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9:35" x14ac:dyDescent="0.3">
      <c r="I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9:35" x14ac:dyDescent="0.3">
      <c r="I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9:35" x14ac:dyDescent="0.3">
      <c r="I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9:35" x14ac:dyDescent="0.3">
      <c r="I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9:35" x14ac:dyDescent="0.3">
      <c r="I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9:35" x14ac:dyDescent="0.3">
      <c r="I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9:35" x14ac:dyDescent="0.3">
      <c r="I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9:35" x14ac:dyDescent="0.3">
      <c r="I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9:35" x14ac:dyDescent="0.3">
      <c r="I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9:35" x14ac:dyDescent="0.3">
      <c r="I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9:35" x14ac:dyDescent="0.3">
      <c r="I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9:35" x14ac:dyDescent="0.3">
      <c r="I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9:35" x14ac:dyDescent="0.3">
      <c r="I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9:35" x14ac:dyDescent="0.3">
      <c r="I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9:35" x14ac:dyDescent="0.3">
      <c r="I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9:35" x14ac:dyDescent="0.3">
      <c r="I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9:35" x14ac:dyDescent="0.3">
      <c r="I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9:35" x14ac:dyDescent="0.3">
      <c r="I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9:35" x14ac:dyDescent="0.3">
      <c r="I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9:35" x14ac:dyDescent="0.3">
      <c r="I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9:35" x14ac:dyDescent="0.3">
      <c r="I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9:35" x14ac:dyDescent="0.3">
      <c r="I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9:35" x14ac:dyDescent="0.3">
      <c r="I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9:35" x14ac:dyDescent="0.3">
      <c r="I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9:35" x14ac:dyDescent="0.3">
      <c r="I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9:35" x14ac:dyDescent="0.3">
      <c r="I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9:35" x14ac:dyDescent="0.3">
      <c r="I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9:35" x14ac:dyDescent="0.3">
      <c r="I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9:35" x14ac:dyDescent="0.3">
      <c r="I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9:35" x14ac:dyDescent="0.3">
      <c r="I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9:35" x14ac:dyDescent="0.3">
      <c r="I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9:35" x14ac:dyDescent="0.3">
      <c r="I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9:35" x14ac:dyDescent="0.3">
      <c r="I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9:35" x14ac:dyDescent="0.3">
      <c r="I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9:35" x14ac:dyDescent="0.3">
      <c r="I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9:35" x14ac:dyDescent="0.3">
      <c r="I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9:35" x14ac:dyDescent="0.3">
      <c r="I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9:35" x14ac:dyDescent="0.3">
      <c r="I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9:35" x14ac:dyDescent="0.3">
      <c r="I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9:35" x14ac:dyDescent="0.3">
      <c r="I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9:35" x14ac:dyDescent="0.3">
      <c r="I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9:35" x14ac:dyDescent="0.3">
      <c r="I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9:35" x14ac:dyDescent="0.3">
      <c r="I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9:35" x14ac:dyDescent="0.3">
      <c r="I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9:35" x14ac:dyDescent="0.3">
      <c r="I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9:35" x14ac:dyDescent="0.3">
      <c r="I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9:35" x14ac:dyDescent="0.3">
      <c r="I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9:35" x14ac:dyDescent="0.3">
      <c r="I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9:35" x14ac:dyDescent="0.3">
      <c r="I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9:35" x14ac:dyDescent="0.3">
      <c r="I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9:35" x14ac:dyDescent="0.3">
      <c r="I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9:35" x14ac:dyDescent="0.3">
      <c r="I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9:35" x14ac:dyDescent="0.3">
      <c r="I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9:35" x14ac:dyDescent="0.3">
      <c r="I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9:35" x14ac:dyDescent="0.3">
      <c r="I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9:35" x14ac:dyDescent="0.3">
      <c r="I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9:35" x14ac:dyDescent="0.3">
      <c r="I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9:35" x14ac:dyDescent="0.3">
      <c r="I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9:35" x14ac:dyDescent="0.3">
      <c r="I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9:35" x14ac:dyDescent="0.3">
      <c r="I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9:35" x14ac:dyDescent="0.3">
      <c r="I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9:35" x14ac:dyDescent="0.3">
      <c r="I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9:35" x14ac:dyDescent="0.3">
      <c r="I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9:35" x14ac:dyDescent="0.3">
      <c r="I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9:35" x14ac:dyDescent="0.3">
      <c r="I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9:35" x14ac:dyDescent="0.3">
      <c r="I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9:35" x14ac:dyDescent="0.3">
      <c r="I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9:35" x14ac:dyDescent="0.3">
      <c r="I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9:35" x14ac:dyDescent="0.3">
      <c r="I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9:35" x14ac:dyDescent="0.3">
      <c r="I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9:35" x14ac:dyDescent="0.3">
      <c r="I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9:35" x14ac:dyDescent="0.3">
      <c r="I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9:35" x14ac:dyDescent="0.3">
      <c r="I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9:35" x14ac:dyDescent="0.3">
      <c r="I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9:35" x14ac:dyDescent="0.3">
      <c r="I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9:35" x14ac:dyDescent="0.3">
      <c r="I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9:35" x14ac:dyDescent="0.3">
      <c r="I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9:35" x14ac:dyDescent="0.3">
      <c r="I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9:35" x14ac:dyDescent="0.3">
      <c r="I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9:35" x14ac:dyDescent="0.3">
      <c r="I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9:35" x14ac:dyDescent="0.3">
      <c r="I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9:35" x14ac:dyDescent="0.3">
      <c r="I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9:35" x14ac:dyDescent="0.3">
      <c r="I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9:35" x14ac:dyDescent="0.3">
      <c r="I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9:35" x14ac:dyDescent="0.3">
      <c r="I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9:35" x14ac:dyDescent="0.3">
      <c r="I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9:35" x14ac:dyDescent="0.3">
      <c r="I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9:35" x14ac:dyDescent="0.3">
      <c r="I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9:35" x14ac:dyDescent="0.3">
      <c r="I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9:35" x14ac:dyDescent="0.3">
      <c r="I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9:35" x14ac:dyDescent="0.3">
      <c r="I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9:35" x14ac:dyDescent="0.3">
      <c r="I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9:35" x14ac:dyDescent="0.3">
      <c r="I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D2AD-D0A0-4AF1-8DC9-690A35221B36}">
  <dimension ref="A3:AI184"/>
  <sheetViews>
    <sheetView topLeftCell="A45" workbookViewId="0">
      <selection activeCell="D73" sqref="D73"/>
    </sheetView>
  </sheetViews>
  <sheetFormatPr defaultRowHeight="14.4" x14ac:dyDescent="0.3"/>
  <cols>
    <col min="1" max="1" width="19.109375" style="9" bestFit="1" customWidth="1"/>
    <col min="2" max="2" width="179" style="5" bestFit="1" customWidth="1"/>
    <col min="3" max="3" width="14.44140625" style="5" bestFit="1" customWidth="1"/>
    <col min="4" max="4" width="31" style="5" customWidth="1"/>
    <col min="5" max="5" width="31.5546875" style="5" bestFit="1" customWidth="1"/>
    <col min="6" max="6" width="25.88671875" style="5" bestFit="1" customWidth="1"/>
    <col min="7" max="7" width="14.44140625" style="5" bestFit="1" customWidth="1"/>
    <col min="8" max="8" width="21.33203125" style="5" bestFit="1" customWidth="1"/>
  </cols>
  <sheetData>
    <row r="3" spans="1:10" x14ac:dyDescent="0.3">
      <c r="A3" s="9" t="s">
        <v>187</v>
      </c>
    </row>
    <row r="4" spans="1:10" x14ac:dyDescent="0.3">
      <c r="A4" s="9">
        <v>1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H4">
        <f>LEN(J4)</f>
        <v>82</v>
      </c>
      <c r="I4" s="5" t="s">
        <v>185</v>
      </c>
      <c r="J4" t="s">
        <v>202</v>
      </c>
    </row>
    <row r="5" spans="1:10" x14ac:dyDescent="0.3">
      <c r="A5" s="9">
        <v>2</v>
      </c>
      <c r="B5" s="5" t="s">
        <v>151</v>
      </c>
      <c r="C5" s="5" t="s">
        <v>151</v>
      </c>
      <c r="D5" s="5" t="s">
        <v>151</v>
      </c>
      <c r="E5" s="5" t="s">
        <v>152</v>
      </c>
      <c r="F5" s="5" t="s">
        <v>153</v>
      </c>
      <c r="J5" s="5" t="str">
        <f>B5&amp;C5&amp;D5&amp;E5&amp;F5</f>
        <v xml:space="preserve">01010100000000000001000000-                                                       </v>
      </c>
    </row>
    <row r="6" spans="1:10" x14ac:dyDescent="0.3">
      <c r="A6" s="9">
        <v>3</v>
      </c>
      <c r="B6" s="5" t="s">
        <v>151</v>
      </c>
      <c r="C6" s="5" t="s">
        <v>151</v>
      </c>
      <c r="D6" s="5" t="s">
        <v>156</v>
      </c>
      <c r="E6" s="5" t="s">
        <v>157</v>
      </c>
      <c r="F6" s="5" t="s">
        <v>153</v>
      </c>
      <c r="J6" s="5" t="str">
        <f t="shared" ref="J6:J16" si="0">B6&amp;C6&amp;D6&amp;E6&amp;F6</f>
        <v xml:space="preserve">01010200000000000001000000+                                                       </v>
      </c>
    </row>
    <row r="7" spans="1:10" x14ac:dyDescent="0.3">
      <c r="A7" s="9">
        <v>4</v>
      </c>
      <c r="B7" s="5" t="s">
        <v>151</v>
      </c>
      <c r="C7" s="5" t="s">
        <v>165</v>
      </c>
      <c r="D7" s="5" t="s">
        <v>158</v>
      </c>
      <c r="E7" s="5" t="s">
        <v>152</v>
      </c>
      <c r="F7" s="5" t="s">
        <v>153</v>
      </c>
      <c r="J7" s="5" t="str">
        <f t="shared" si="0"/>
        <v xml:space="preserve">01420300000000000001000000-                                                       </v>
      </c>
    </row>
    <row r="8" spans="1:10" x14ac:dyDescent="0.3">
      <c r="A8" s="9">
        <v>5</v>
      </c>
      <c r="B8" s="7" t="s">
        <v>151</v>
      </c>
      <c r="C8" s="7" t="s">
        <v>151</v>
      </c>
      <c r="D8" s="7" t="s">
        <v>159</v>
      </c>
      <c r="E8" s="7" t="s">
        <v>152</v>
      </c>
      <c r="F8" s="7" t="s">
        <v>153</v>
      </c>
      <c r="J8" s="5" t="str">
        <f t="shared" si="0"/>
        <v xml:space="preserve">01010400000000000001000000-                                                       </v>
      </c>
    </row>
    <row r="9" spans="1:10" x14ac:dyDescent="0.3">
      <c r="A9" s="9">
        <v>6</v>
      </c>
      <c r="B9" s="8" t="s">
        <v>151</v>
      </c>
      <c r="C9" s="8" t="s">
        <v>151</v>
      </c>
      <c r="D9" s="8" t="s">
        <v>160</v>
      </c>
      <c r="E9" s="8" t="s">
        <v>157</v>
      </c>
      <c r="F9" s="8" t="s">
        <v>153</v>
      </c>
      <c r="J9" s="5" t="str">
        <f t="shared" si="0"/>
        <v xml:space="preserve">01010500000000000001000000+                                                       </v>
      </c>
    </row>
    <row r="10" spans="1:10" x14ac:dyDescent="0.3">
      <c r="A10" s="9">
        <v>7</v>
      </c>
      <c r="B10" s="7" t="s">
        <v>151</v>
      </c>
      <c r="C10" s="7" t="s">
        <v>151</v>
      </c>
      <c r="D10" s="7" t="s">
        <v>161</v>
      </c>
      <c r="E10" s="7" t="s">
        <v>152</v>
      </c>
      <c r="F10" s="7" t="s">
        <v>153</v>
      </c>
      <c r="J10" s="5" t="str">
        <f t="shared" si="0"/>
        <v xml:space="preserve">01010600000000000001000000-                                                       </v>
      </c>
    </row>
    <row r="11" spans="1:10" x14ac:dyDescent="0.3">
      <c r="A11" s="9">
        <v>8</v>
      </c>
      <c r="B11" s="8" t="s">
        <v>151</v>
      </c>
      <c r="C11" s="8" t="s">
        <v>151</v>
      </c>
      <c r="D11" s="8" t="s">
        <v>162</v>
      </c>
      <c r="E11" s="8" t="s">
        <v>157</v>
      </c>
      <c r="F11" s="8" t="s">
        <v>153</v>
      </c>
      <c r="J11" s="5" t="str">
        <f t="shared" si="0"/>
        <v xml:space="preserve">01010700000000000001000000+                                                       </v>
      </c>
    </row>
    <row r="12" spans="1:10" x14ac:dyDescent="0.3">
      <c r="A12" s="9">
        <v>9</v>
      </c>
      <c r="B12" s="6" t="s">
        <v>151</v>
      </c>
      <c r="C12" s="6" t="s">
        <v>151</v>
      </c>
      <c r="D12" s="6" t="s">
        <v>163</v>
      </c>
      <c r="E12" s="6" t="s">
        <v>152</v>
      </c>
      <c r="F12" s="6" t="s">
        <v>153</v>
      </c>
      <c r="J12" s="5" t="str">
        <f t="shared" si="0"/>
        <v xml:space="preserve">01010800000000000001000000-                                                       </v>
      </c>
    </row>
    <row r="13" spans="1:10" x14ac:dyDescent="0.3">
      <c r="A13" s="9">
        <v>10</v>
      </c>
      <c r="B13" s="5" t="s">
        <v>151</v>
      </c>
      <c r="C13" s="5" t="s">
        <v>151</v>
      </c>
      <c r="D13" s="5" t="s">
        <v>164</v>
      </c>
      <c r="E13" s="5" t="s">
        <v>152</v>
      </c>
      <c r="F13" s="5" t="s">
        <v>153</v>
      </c>
      <c r="J13" s="5" t="str">
        <f t="shared" si="0"/>
        <v xml:space="preserve">01010900000000000001000000-                                                       </v>
      </c>
    </row>
    <row r="14" spans="1:10" x14ac:dyDescent="0.3">
      <c r="A14" s="9">
        <v>11</v>
      </c>
      <c r="B14" s="6" t="s">
        <v>151</v>
      </c>
      <c r="C14" s="6" t="s">
        <v>151</v>
      </c>
      <c r="D14" s="6" t="s">
        <v>24</v>
      </c>
      <c r="E14" s="6" t="s">
        <v>152</v>
      </c>
      <c r="F14" s="6" t="s">
        <v>153</v>
      </c>
      <c r="J14" s="5" t="str">
        <f t="shared" si="0"/>
        <v xml:space="preserve">01011000000000000001000000-                                                       </v>
      </c>
    </row>
    <row r="15" spans="1:10" x14ac:dyDescent="0.3">
      <c r="J15" s="5" t="str">
        <f t="shared" si="0"/>
        <v/>
      </c>
    </row>
    <row r="16" spans="1:10" x14ac:dyDescent="0.3">
      <c r="J16" s="5" t="str">
        <f t="shared" si="0"/>
        <v/>
      </c>
    </row>
    <row r="17" spans="1:35" x14ac:dyDescent="0.3">
      <c r="B17" s="5" t="s">
        <v>146</v>
      </c>
      <c r="C17" s="5" t="s">
        <v>166</v>
      </c>
      <c r="D17" s="5" t="s">
        <v>167</v>
      </c>
      <c r="E17" s="5" t="s">
        <v>168</v>
      </c>
      <c r="F17" s="5" t="s">
        <v>147</v>
      </c>
      <c r="G17" s="5" t="s">
        <v>169</v>
      </c>
      <c r="H17" s="5" t="s">
        <v>149</v>
      </c>
      <c r="I17" s="5" t="s">
        <v>150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9">
        <v>12</v>
      </c>
      <c r="B18" s="6"/>
      <c r="C18" s="6"/>
      <c r="D18" s="6"/>
      <c r="E18" s="10"/>
      <c r="F18" s="6"/>
      <c r="G18" s="6"/>
      <c r="H18" s="10"/>
      <c r="I18" s="6"/>
      <c r="J18" s="5" t="str">
        <f>B18&amp;C18&amp;D18&amp;E18&amp;F18&amp;G18&amp;H18&amp;I18</f>
        <v/>
      </c>
      <c r="K18" s="5"/>
      <c r="L18" s="5"/>
      <c r="M18" s="5"/>
      <c r="N18" s="5"/>
      <c r="O18" s="5"/>
      <c r="P18" s="5"/>
      <c r="Q18" s="5"/>
      <c r="R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3">
      <c r="A19" s="9">
        <v>13</v>
      </c>
      <c r="B19" s="6"/>
      <c r="C19" s="10"/>
      <c r="D19" s="6"/>
      <c r="E19" s="6"/>
      <c r="F19" s="10"/>
      <c r="G19" s="10"/>
      <c r="H19" s="6"/>
      <c r="I19" s="10"/>
      <c r="J19" s="5" t="str">
        <f>B19&amp;C19&amp;D19&amp;E19&amp;F19&amp;G19&amp;H19&amp;I19</f>
        <v/>
      </c>
      <c r="K19" s="5"/>
      <c r="L19" s="5"/>
      <c r="M19" s="5"/>
      <c r="N19" s="5"/>
      <c r="O19" s="5"/>
      <c r="P19" s="5"/>
      <c r="Q19" s="5"/>
      <c r="R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B20"/>
      <c r="C20"/>
      <c r="D20"/>
      <c r="E20"/>
      <c r="F20"/>
      <c r="G20"/>
      <c r="H20"/>
    </row>
    <row r="21" spans="1:35" x14ac:dyDescent="0.3">
      <c r="B21" s="5" t="s">
        <v>146</v>
      </c>
      <c r="C21" s="5" t="s">
        <v>178</v>
      </c>
      <c r="D21" s="5" t="s">
        <v>166</v>
      </c>
      <c r="E21" s="5" t="s">
        <v>167</v>
      </c>
      <c r="F21" s="5" t="s">
        <v>168</v>
      </c>
      <c r="G21" s="5" t="s">
        <v>147</v>
      </c>
      <c r="H21" s="5" t="s">
        <v>149</v>
      </c>
      <c r="I21" s="5"/>
    </row>
    <row r="22" spans="1:35" x14ac:dyDescent="0.3">
      <c r="A22" s="9">
        <v>14</v>
      </c>
      <c r="B22" s="7"/>
      <c r="C22" s="7"/>
      <c r="D22" s="7"/>
      <c r="E22" s="7"/>
      <c r="F22" s="10"/>
      <c r="G22" s="7"/>
      <c r="H22" s="7"/>
      <c r="I22" s="5"/>
      <c r="J22" s="5" t="str">
        <f>B22&amp;C22&amp;D22&amp;E22&amp;F22&amp;G22&amp;H22</f>
        <v/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s="9">
        <v>15</v>
      </c>
      <c r="B23" s="7"/>
      <c r="C23" s="7"/>
      <c r="D23" s="10"/>
      <c r="E23" s="7"/>
      <c r="F23" s="7"/>
      <c r="G23" s="10"/>
      <c r="H23" s="7"/>
      <c r="I23" s="5"/>
      <c r="J23" s="5" t="str">
        <f>B23&amp;C23&amp;D23&amp;E23&amp;F23&amp;G23&amp;H23</f>
        <v/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I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B25" s="5" t="s">
        <v>146</v>
      </c>
      <c r="C25" s="5" t="s">
        <v>182</v>
      </c>
      <c r="D25" s="5" t="s">
        <v>166</v>
      </c>
      <c r="E25" s="5" t="s">
        <v>167</v>
      </c>
      <c r="F25" s="5" t="s">
        <v>168</v>
      </c>
      <c r="G25" s="5" t="s">
        <v>147</v>
      </c>
      <c r="H25" s="5" t="s">
        <v>149</v>
      </c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A26" s="9">
        <v>16</v>
      </c>
      <c r="B26" s="8"/>
      <c r="C26" s="8"/>
      <c r="D26" s="8"/>
      <c r="E26" s="8"/>
      <c r="F26" s="8"/>
      <c r="G26" s="8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A27" s="9">
        <v>17</v>
      </c>
      <c r="B27" s="8"/>
      <c r="C27" s="8"/>
      <c r="D27" s="10"/>
      <c r="E27" s="8"/>
      <c r="F27" s="8"/>
      <c r="G27" s="10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I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3">
      <c r="A29" s="9">
        <v>18</v>
      </c>
      <c r="B29" s="8"/>
      <c r="C29" s="8"/>
      <c r="D29" s="10"/>
      <c r="E29" s="8"/>
      <c r="F29" s="8"/>
      <c r="G29" s="10"/>
      <c r="H29" s="8"/>
      <c r="I29" s="5"/>
      <c r="J29" s="5" t="str">
        <f>B29&amp;C29&amp;D29&amp;E29&amp;F29&amp;G29&amp;H29</f>
        <v/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x14ac:dyDescent="0.3">
      <c r="I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3"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x14ac:dyDescent="0.3">
      <c r="A32" s="1" t="s">
        <v>0</v>
      </c>
      <c r="B32" s="2" t="s">
        <v>1</v>
      </c>
      <c r="C32" s="5" t="s">
        <v>188</v>
      </c>
      <c r="D32" s="5" t="s">
        <v>189</v>
      </c>
      <c r="E32" s="5" t="s">
        <v>191</v>
      </c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" x14ac:dyDescent="0.3">
      <c r="A33" s="1" t="s">
        <v>4</v>
      </c>
      <c r="B33" s="2" t="s">
        <v>30</v>
      </c>
      <c r="C33" s="5" t="s">
        <v>4</v>
      </c>
      <c r="D33" s="5" t="s">
        <v>201</v>
      </c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" x14ac:dyDescent="0.3">
      <c r="A34" s="2" t="s">
        <v>7</v>
      </c>
      <c r="B34" s="2" t="s">
        <v>8</v>
      </c>
      <c r="C34" s="5" t="s">
        <v>4</v>
      </c>
      <c r="D34" s="5" t="s">
        <v>201</v>
      </c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x14ac:dyDescent="0.3">
      <c r="A35" s="2" t="s">
        <v>9</v>
      </c>
      <c r="B35" s="2" t="s">
        <v>10</v>
      </c>
      <c r="C35" s="5" t="s">
        <v>4</v>
      </c>
      <c r="D35" s="5" t="s">
        <v>201</v>
      </c>
      <c r="I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" x14ac:dyDescent="0.3">
      <c r="A36" s="2" t="s">
        <v>9</v>
      </c>
      <c r="B36" s="2" t="s">
        <v>10</v>
      </c>
      <c r="C36" s="5" t="s">
        <v>32</v>
      </c>
      <c r="D36" s="5" t="s">
        <v>201</v>
      </c>
      <c r="I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" x14ac:dyDescent="0.3">
      <c r="A37" s="2" t="s">
        <v>12</v>
      </c>
      <c r="B37" s="2" t="s">
        <v>11</v>
      </c>
      <c r="C37" s="5" t="s">
        <v>32</v>
      </c>
      <c r="D37" s="5" t="s">
        <v>201</v>
      </c>
      <c r="I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" x14ac:dyDescent="0.3">
      <c r="A38" s="2" t="s">
        <v>12</v>
      </c>
      <c r="B38" s="2" t="s">
        <v>11</v>
      </c>
      <c r="C38" s="5" t="s">
        <v>60</v>
      </c>
      <c r="D38" s="5" t="s">
        <v>201</v>
      </c>
      <c r="I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" x14ac:dyDescent="0.3">
      <c r="A39" s="2" t="s">
        <v>12</v>
      </c>
      <c r="B39" s="2" t="s">
        <v>11</v>
      </c>
      <c r="C39" s="5" t="s">
        <v>69</v>
      </c>
      <c r="D39" s="5" t="s">
        <v>201</v>
      </c>
      <c r="I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" x14ac:dyDescent="0.3">
      <c r="A40" s="2" t="s">
        <v>12</v>
      </c>
      <c r="B40" s="2" t="s">
        <v>11</v>
      </c>
      <c r="C40" s="5" t="s">
        <v>70</v>
      </c>
      <c r="D40" s="5" t="s">
        <v>201</v>
      </c>
      <c r="I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" x14ac:dyDescent="0.3">
      <c r="A41" s="2" t="s">
        <v>20</v>
      </c>
      <c r="B41" s="2" t="s">
        <v>21</v>
      </c>
      <c r="C41" s="5" t="s">
        <v>69</v>
      </c>
      <c r="D41" s="5" t="s">
        <v>201</v>
      </c>
      <c r="I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" x14ac:dyDescent="0.3">
      <c r="A42" s="2" t="s">
        <v>20</v>
      </c>
      <c r="B42" s="2" t="s">
        <v>21</v>
      </c>
      <c r="C42" s="5" t="s">
        <v>32</v>
      </c>
      <c r="D42" s="5" t="s">
        <v>201</v>
      </c>
      <c r="I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" x14ac:dyDescent="0.3">
      <c r="A43" s="2" t="s">
        <v>20</v>
      </c>
      <c r="B43" s="2" t="s">
        <v>21</v>
      </c>
      <c r="C43" s="5" t="s">
        <v>60</v>
      </c>
      <c r="D43" s="5" t="s">
        <v>201</v>
      </c>
      <c r="I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" x14ac:dyDescent="0.3">
      <c r="A44" s="2" t="s">
        <v>20</v>
      </c>
      <c r="B44" s="2" t="s">
        <v>21</v>
      </c>
      <c r="C44" s="5" t="s">
        <v>24</v>
      </c>
      <c r="D44" s="5" t="s">
        <v>201</v>
      </c>
      <c r="I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" x14ac:dyDescent="0.3">
      <c r="A45" s="2" t="s">
        <v>22</v>
      </c>
      <c r="B45" s="2" t="s">
        <v>23</v>
      </c>
      <c r="C45" s="5" t="s">
        <v>4</v>
      </c>
      <c r="D45" s="5" t="s">
        <v>201</v>
      </c>
      <c r="I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x14ac:dyDescent="0.3">
      <c r="A46" s="2" t="s">
        <v>22</v>
      </c>
      <c r="B46" s="2" t="s">
        <v>23</v>
      </c>
      <c r="C46" s="5" t="s">
        <v>28</v>
      </c>
      <c r="D46" s="5" t="s">
        <v>201</v>
      </c>
      <c r="I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" x14ac:dyDescent="0.3">
      <c r="A47" s="2" t="s">
        <v>22</v>
      </c>
      <c r="B47" s="2" t="s">
        <v>23</v>
      </c>
      <c r="C47" s="5" t="s">
        <v>58</v>
      </c>
      <c r="D47" s="5" t="s">
        <v>201</v>
      </c>
      <c r="I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" x14ac:dyDescent="0.3">
      <c r="A48" s="2" t="s">
        <v>24</v>
      </c>
      <c r="B48" s="2" t="s">
        <v>25</v>
      </c>
      <c r="C48" s="5" t="s">
        <v>32</v>
      </c>
      <c r="D48" s="5" t="s">
        <v>201</v>
      </c>
      <c r="I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x14ac:dyDescent="0.3">
      <c r="A49" s="2" t="s">
        <v>24</v>
      </c>
      <c r="B49" s="2" t="s">
        <v>25</v>
      </c>
      <c r="C49" s="5" t="s">
        <v>28</v>
      </c>
      <c r="D49" s="5" t="s">
        <v>201</v>
      </c>
      <c r="I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x14ac:dyDescent="0.3">
      <c r="A50" s="2" t="s">
        <v>27</v>
      </c>
      <c r="B50" s="2" t="s">
        <v>26</v>
      </c>
      <c r="C50" s="5" t="s">
        <v>24</v>
      </c>
      <c r="D50" s="5" t="s">
        <v>201</v>
      </c>
      <c r="I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x14ac:dyDescent="0.3">
      <c r="A51" s="2" t="s">
        <v>58</v>
      </c>
      <c r="B51" s="2" t="s">
        <v>59</v>
      </c>
      <c r="C51" s="5" t="s">
        <v>70</v>
      </c>
      <c r="D51" s="5" t="s">
        <v>201</v>
      </c>
      <c r="I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x14ac:dyDescent="0.3">
      <c r="A52" s="2" t="s">
        <v>60</v>
      </c>
      <c r="B52" s="2" t="s">
        <v>61</v>
      </c>
      <c r="C52" s="5" t="s">
        <v>70</v>
      </c>
      <c r="D52" s="5" t="s">
        <v>201</v>
      </c>
      <c r="I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x14ac:dyDescent="0.3">
      <c r="A53" s="2" t="s">
        <v>65</v>
      </c>
      <c r="B53" s="2" t="s">
        <v>67</v>
      </c>
      <c r="C53" s="5" t="s">
        <v>4</v>
      </c>
      <c r="D53" s="5" t="s">
        <v>201</v>
      </c>
      <c r="I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x14ac:dyDescent="0.3">
      <c r="A54" s="2" t="s">
        <v>65</v>
      </c>
      <c r="B54" s="2" t="s">
        <v>67</v>
      </c>
      <c r="C54" s="5" t="s">
        <v>32</v>
      </c>
      <c r="D54" s="5" t="s">
        <v>201</v>
      </c>
      <c r="I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x14ac:dyDescent="0.3">
      <c r="A55" s="2" t="s">
        <v>65</v>
      </c>
      <c r="B55" s="2" t="s">
        <v>67</v>
      </c>
      <c r="C55" s="5" t="s">
        <v>12</v>
      </c>
      <c r="D55" s="5" t="s">
        <v>201</v>
      </c>
      <c r="I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" x14ac:dyDescent="0.3">
      <c r="A56" s="2" t="s">
        <v>97</v>
      </c>
      <c r="B56" s="2" t="s">
        <v>98</v>
      </c>
      <c r="C56" s="5" t="s">
        <v>9</v>
      </c>
      <c r="D56" s="5" t="s">
        <v>201</v>
      </c>
      <c r="I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x14ac:dyDescent="0.3">
      <c r="A57" s="2" t="s">
        <v>101</v>
      </c>
      <c r="B57" s="2" t="s">
        <v>102</v>
      </c>
      <c r="C57" s="5" t="s">
        <v>7</v>
      </c>
      <c r="D57" s="5" t="s">
        <v>201</v>
      </c>
      <c r="I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x14ac:dyDescent="0.3">
      <c r="A58" s="2" t="s">
        <v>104</v>
      </c>
      <c r="B58" s="2" t="s">
        <v>105</v>
      </c>
      <c r="C58" s="5" t="s">
        <v>9</v>
      </c>
      <c r="D58" s="5" t="s">
        <v>201</v>
      </c>
      <c r="I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x14ac:dyDescent="0.3">
      <c r="A59" s="2" t="s">
        <v>108</v>
      </c>
      <c r="B59" s="2" t="s">
        <v>107</v>
      </c>
      <c r="C59" s="5" t="s">
        <v>15</v>
      </c>
      <c r="D59" s="5" t="s">
        <v>201</v>
      </c>
      <c r="I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x14ac:dyDescent="0.3">
      <c r="A60" s="2" t="s">
        <v>110</v>
      </c>
      <c r="B60" s="2" t="s">
        <v>111</v>
      </c>
      <c r="C60" s="5" t="s">
        <v>17</v>
      </c>
      <c r="D60" s="5" t="s">
        <v>201</v>
      </c>
      <c r="I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x14ac:dyDescent="0.3">
      <c r="A61" s="2" t="s">
        <v>114</v>
      </c>
      <c r="B61" s="2" t="s">
        <v>113</v>
      </c>
      <c r="C61" s="5" t="s">
        <v>19</v>
      </c>
      <c r="D61" s="5" t="s">
        <v>201</v>
      </c>
      <c r="I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x14ac:dyDescent="0.3">
      <c r="A62" s="2" t="s">
        <v>116</v>
      </c>
      <c r="B62" s="2" t="s">
        <v>117</v>
      </c>
      <c r="C62" s="5" t="s">
        <v>20</v>
      </c>
      <c r="D62" s="5" t="s">
        <v>201</v>
      </c>
      <c r="I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x14ac:dyDescent="0.3">
      <c r="A63" s="2" t="s">
        <v>119</v>
      </c>
      <c r="B63" s="2" t="s">
        <v>120</v>
      </c>
      <c r="C63" s="5" t="s">
        <v>22</v>
      </c>
      <c r="D63" s="5" t="s">
        <v>201</v>
      </c>
      <c r="I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x14ac:dyDescent="0.3">
      <c r="A64" s="2" t="s">
        <v>122</v>
      </c>
      <c r="B64" s="2" t="s">
        <v>123</v>
      </c>
      <c r="C64" s="5" t="s">
        <v>24</v>
      </c>
      <c r="D64" s="5" t="s">
        <v>201</v>
      </c>
      <c r="I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x14ac:dyDescent="0.3">
      <c r="A65" s="2" t="s">
        <v>125</v>
      </c>
      <c r="B65" s="2" t="s">
        <v>126</v>
      </c>
      <c r="C65" s="5" t="s">
        <v>27</v>
      </c>
      <c r="D65" s="5" t="s">
        <v>201</v>
      </c>
      <c r="I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x14ac:dyDescent="0.3">
      <c r="A66" s="2" t="s">
        <v>128</v>
      </c>
      <c r="B66" s="2" t="s">
        <v>129</v>
      </c>
      <c r="C66" s="5" t="s">
        <v>22</v>
      </c>
      <c r="D66" s="5" t="s">
        <v>190</v>
      </c>
      <c r="E66" s="5" t="s">
        <v>190</v>
      </c>
      <c r="I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x14ac:dyDescent="0.3">
      <c r="A67" s="2" t="s">
        <v>128</v>
      </c>
      <c r="B67" s="2" t="s">
        <v>129</v>
      </c>
      <c r="C67" s="5" t="s">
        <v>27</v>
      </c>
      <c r="D67" s="5" t="s">
        <v>190</v>
      </c>
      <c r="E67" s="5" t="s">
        <v>190</v>
      </c>
      <c r="I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x14ac:dyDescent="0.3">
      <c r="A68" s="2" t="s">
        <v>131</v>
      </c>
      <c r="B68" s="2" t="s">
        <v>130</v>
      </c>
      <c r="D68" s="5" t="s">
        <v>200</v>
      </c>
      <c r="I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x14ac:dyDescent="0.3">
      <c r="A69" s="2" t="s">
        <v>134</v>
      </c>
      <c r="B69" s="2" t="s">
        <v>133</v>
      </c>
      <c r="C69" s="5" t="s">
        <v>15</v>
      </c>
      <c r="D69" s="5" t="s">
        <v>190</v>
      </c>
      <c r="E69" s="5" t="s">
        <v>190</v>
      </c>
      <c r="I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x14ac:dyDescent="0.3">
      <c r="A70" s="2" t="s">
        <v>134</v>
      </c>
      <c r="B70" s="2" t="s">
        <v>133</v>
      </c>
      <c r="C70" s="5" t="s">
        <v>19</v>
      </c>
      <c r="D70" s="5" t="s">
        <v>190</v>
      </c>
      <c r="E70" s="5" t="s">
        <v>190</v>
      </c>
      <c r="I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x14ac:dyDescent="0.3">
      <c r="A71" s="2" t="s">
        <v>136</v>
      </c>
      <c r="B71" s="2" t="s">
        <v>135</v>
      </c>
      <c r="D71" s="5" t="s">
        <v>200</v>
      </c>
      <c r="I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x14ac:dyDescent="0.3">
      <c r="A72" s="2" t="s">
        <v>139</v>
      </c>
      <c r="B72" s="2" t="s">
        <v>138</v>
      </c>
      <c r="C72" s="5" t="s">
        <v>17</v>
      </c>
      <c r="D72" s="5" t="s">
        <v>190</v>
      </c>
      <c r="E72" s="5" t="s">
        <v>190</v>
      </c>
      <c r="I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" x14ac:dyDescent="0.3">
      <c r="A73" s="2" t="s">
        <v>139</v>
      </c>
      <c r="B73" s="2" t="s">
        <v>138</v>
      </c>
      <c r="C73" s="5" t="s">
        <v>20</v>
      </c>
      <c r="D73" s="5" t="s">
        <v>190</v>
      </c>
      <c r="E73" s="5" t="s">
        <v>190</v>
      </c>
      <c r="I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" x14ac:dyDescent="0.3">
      <c r="A74" s="2" t="s">
        <v>144</v>
      </c>
      <c r="B74" s="2" t="s">
        <v>143</v>
      </c>
      <c r="D74" s="5" t="s">
        <v>200</v>
      </c>
      <c r="I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x14ac:dyDescent="0.3">
      <c r="I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x14ac:dyDescent="0.3">
      <c r="I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x14ac:dyDescent="0.3">
      <c r="I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x14ac:dyDescent="0.3">
      <c r="I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x14ac:dyDescent="0.3">
      <c r="I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x14ac:dyDescent="0.3">
      <c r="I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9:35" x14ac:dyDescent="0.3">
      <c r="I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9:35" x14ac:dyDescent="0.3">
      <c r="I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9:35" x14ac:dyDescent="0.3">
      <c r="I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9:35" x14ac:dyDescent="0.3">
      <c r="I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9:35" x14ac:dyDescent="0.3">
      <c r="I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9:35" x14ac:dyDescent="0.3">
      <c r="I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9:35" x14ac:dyDescent="0.3">
      <c r="I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9:35" x14ac:dyDescent="0.3">
      <c r="I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9:35" x14ac:dyDescent="0.3">
      <c r="I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9:35" x14ac:dyDescent="0.3">
      <c r="I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9:35" x14ac:dyDescent="0.3">
      <c r="I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9:35" x14ac:dyDescent="0.3">
      <c r="I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9:35" x14ac:dyDescent="0.3">
      <c r="I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9:35" x14ac:dyDescent="0.3">
      <c r="I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9:35" x14ac:dyDescent="0.3">
      <c r="I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9:35" x14ac:dyDescent="0.3">
      <c r="I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9:35" x14ac:dyDescent="0.3">
      <c r="I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9:35" x14ac:dyDescent="0.3">
      <c r="I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9:35" x14ac:dyDescent="0.3">
      <c r="I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9:35" x14ac:dyDescent="0.3">
      <c r="I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9:35" x14ac:dyDescent="0.3">
      <c r="I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9:35" x14ac:dyDescent="0.3">
      <c r="I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9:35" x14ac:dyDescent="0.3">
      <c r="I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9:35" x14ac:dyDescent="0.3">
      <c r="I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9:35" x14ac:dyDescent="0.3">
      <c r="I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9:35" x14ac:dyDescent="0.3">
      <c r="I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9:35" x14ac:dyDescent="0.3">
      <c r="I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9:35" x14ac:dyDescent="0.3">
      <c r="I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9:35" x14ac:dyDescent="0.3">
      <c r="I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9:35" x14ac:dyDescent="0.3">
      <c r="I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9:35" x14ac:dyDescent="0.3">
      <c r="I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9:35" x14ac:dyDescent="0.3">
      <c r="I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9:35" x14ac:dyDescent="0.3">
      <c r="I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9:35" x14ac:dyDescent="0.3">
      <c r="I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9:35" x14ac:dyDescent="0.3">
      <c r="I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9:35" x14ac:dyDescent="0.3">
      <c r="I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9:35" x14ac:dyDescent="0.3">
      <c r="I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9:35" x14ac:dyDescent="0.3">
      <c r="I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9:35" x14ac:dyDescent="0.3">
      <c r="I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9:35" x14ac:dyDescent="0.3">
      <c r="I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9:35" x14ac:dyDescent="0.3">
      <c r="I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9:35" x14ac:dyDescent="0.3">
      <c r="I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9:35" x14ac:dyDescent="0.3">
      <c r="I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9:35" x14ac:dyDescent="0.3">
      <c r="I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9:35" x14ac:dyDescent="0.3">
      <c r="I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9:35" x14ac:dyDescent="0.3">
      <c r="I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9:35" x14ac:dyDescent="0.3">
      <c r="I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9:35" x14ac:dyDescent="0.3">
      <c r="I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9:35" x14ac:dyDescent="0.3">
      <c r="I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9:35" x14ac:dyDescent="0.3">
      <c r="I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9:35" x14ac:dyDescent="0.3">
      <c r="I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9:35" x14ac:dyDescent="0.3">
      <c r="I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9:35" x14ac:dyDescent="0.3">
      <c r="I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9:35" x14ac:dyDescent="0.3">
      <c r="I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9:35" x14ac:dyDescent="0.3">
      <c r="I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9:35" x14ac:dyDescent="0.3">
      <c r="I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9:35" x14ac:dyDescent="0.3">
      <c r="I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9:35" x14ac:dyDescent="0.3">
      <c r="I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9:35" x14ac:dyDescent="0.3">
      <c r="I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9:35" x14ac:dyDescent="0.3">
      <c r="I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9:35" x14ac:dyDescent="0.3">
      <c r="I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9:35" x14ac:dyDescent="0.3">
      <c r="I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9:35" x14ac:dyDescent="0.3">
      <c r="I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9:35" x14ac:dyDescent="0.3">
      <c r="I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9:35" x14ac:dyDescent="0.3">
      <c r="I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9:35" x14ac:dyDescent="0.3">
      <c r="I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9:35" x14ac:dyDescent="0.3">
      <c r="I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9:35" x14ac:dyDescent="0.3">
      <c r="I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9:35" x14ac:dyDescent="0.3">
      <c r="I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9:35" x14ac:dyDescent="0.3">
      <c r="I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9:35" x14ac:dyDescent="0.3">
      <c r="I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9:35" x14ac:dyDescent="0.3">
      <c r="I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9:35" x14ac:dyDescent="0.3">
      <c r="I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9:35" x14ac:dyDescent="0.3">
      <c r="I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9:35" x14ac:dyDescent="0.3">
      <c r="I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9:35" x14ac:dyDescent="0.3">
      <c r="I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9:35" x14ac:dyDescent="0.3">
      <c r="I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9:35" x14ac:dyDescent="0.3">
      <c r="I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9:35" x14ac:dyDescent="0.3">
      <c r="I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9:35" x14ac:dyDescent="0.3">
      <c r="I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9:35" x14ac:dyDescent="0.3">
      <c r="I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9:35" x14ac:dyDescent="0.3">
      <c r="I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9:35" x14ac:dyDescent="0.3">
      <c r="I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9:35" x14ac:dyDescent="0.3">
      <c r="I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9:35" x14ac:dyDescent="0.3">
      <c r="I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9:35" x14ac:dyDescent="0.3">
      <c r="I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9:35" x14ac:dyDescent="0.3">
      <c r="I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9:35" x14ac:dyDescent="0.3">
      <c r="I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9:35" x14ac:dyDescent="0.3">
      <c r="I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9:35" x14ac:dyDescent="0.3">
      <c r="I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9:35" x14ac:dyDescent="0.3">
      <c r="I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9:35" x14ac:dyDescent="0.3">
      <c r="I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9:35" x14ac:dyDescent="0.3">
      <c r="I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9:35" x14ac:dyDescent="0.3">
      <c r="I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9:35" x14ac:dyDescent="0.3">
      <c r="I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9:35" x14ac:dyDescent="0.3">
      <c r="I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9:35" x14ac:dyDescent="0.3">
      <c r="I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9:35" x14ac:dyDescent="0.3">
      <c r="I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9:35" x14ac:dyDescent="0.3">
      <c r="I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9:35" x14ac:dyDescent="0.3">
      <c r="I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9:35" x14ac:dyDescent="0.3">
      <c r="I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9:35" x14ac:dyDescent="0.3">
      <c r="I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9:35" x14ac:dyDescent="0.3">
      <c r="I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9:35" x14ac:dyDescent="0.3">
      <c r="I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A749-1550-46C9-B4C1-16EDA40F6677}">
  <dimension ref="A3:AI166"/>
  <sheetViews>
    <sheetView topLeftCell="A21" workbookViewId="0">
      <selection activeCell="B29" sqref="B29"/>
    </sheetView>
  </sheetViews>
  <sheetFormatPr defaultRowHeight="14.4" x14ac:dyDescent="0.3"/>
  <cols>
    <col min="1" max="1" width="19.109375" bestFit="1" customWidth="1"/>
    <col min="2" max="2" width="179" style="5" bestFit="1" customWidth="1"/>
    <col min="3" max="3" width="14.44140625" style="5" bestFit="1" customWidth="1"/>
    <col min="4" max="5" width="31.5546875" style="5" bestFit="1" customWidth="1"/>
    <col min="6" max="6" width="25.88671875" style="5" bestFit="1" customWidth="1"/>
    <col min="7" max="7" width="14.44140625" style="5" bestFit="1" customWidth="1"/>
    <col min="8" max="8" width="20.5546875" style="5" customWidth="1"/>
  </cols>
  <sheetData>
    <row r="3" spans="1:35" x14ac:dyDescent="0.3">
      <c r="A3" s="9" t="s">
        <v>187</v>
      </c>
    </row>
    <row r="4" spans="1:35" x14ac:dyDescent="0.3">
      <c r="A4" s="9">
        <v>1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H4">
        <f>LEN(J4)</f>
        <v>82</v>
      </c>
      <c r="I4" s="5" t="s">
        <v>185</v>
      </c>
      <c r="J4" t="s">
        <v>202</v>
      </c>
    </row>
    <row r="5" spans="1:35" x14ac:dyDescent="0.3">
      <c r="A5" s="9">
        <v>2</v>
      </c>
      <c r="B5" s="5" t="s">
        <v>151</v>
      </c>
      <c r="C5" s="5" t="s">
        <v>151</v>
      </c>
      <c r="D5" s="5" t="s">
        <v>151</v>
      </c>
      <c r="E5" s="5" t="s">
        <v>152</v>
      </c>
      <c r="F5" s="5" t="s">
        <v>153</v>
      </c>
      <c r="J5" s="5" t="str">
        <f>B5&amp;C5&amp;D5&amp;E5&amp;F5</f>
        <v xml:space="preserve">01010100000000000001000000-                                                       </v>
      </c>
    </row>
    <row r="6" spans="1:35" x14ac:dyDescent="0.3">
      <c r="A6" s="9">
        <v>3</v>
      </c>
      <c r="B6" s="5" t="s">
        <v>151</v>
      </c>
      <c r="C6" s="5" t="s">
        <v>151</v>
      </c>
      <c r="D6" s="5" t="s">
        <v>156</v>
      </c>
      <c r="E6" s="5" t="s">
        <v>157</v>
      </c>
      <c r="F6" s="5" t="s">
        <v>153</v>
      </c>
      <c r="J6" s="5" t="str">
        <f t="shared" ref="J6:J10" si="0">B6&amp;C6&amp;D6&amp;E6&amp;F6</f>
        <v xml:space="preserve">01010200000000000001000000+                                                       </v>
      </c>
    </row>
    <row r="7" spans="1:35" x14ac:dyDescent="0.3">
      <c r="A7" s="9">
        <v>4</v>
      </c>
      <c r="B7" s="5" t="s">
        <v>151</v>
      </c>
      <c r="C7" s="5" t="s">
        <v>165</v>
      </c>
      <c r="D7" s="5" t="s">
        <v>158</v>
      </c>
      <c r="E7" s="5" t="s">
        <v>152</v>
      </c>
      <c r="F7" s="5" t="s">
        <v>153</v>
      </c>
      <c r="J7" s="5" t="str">
        <f t="shared" si="0"/>
        <v xml:space="preserve">01420300000000000001000000-                                                       </v>
      </c>
    </row>
    <row r="8" spans="1:35" x14ac:dyDescent="0.3">
      <c r="A8" s="9">
        <v>5</v>
      </c>
      <c r="B8" s="5" t="s">
        <v>151</v>
      </c>
      <c r="C8" s="5" t="s">
        <v>151</v>
      </c>
      <c r="D8" s="5" t="s">
        <v>164</v>
      </c>
      <c r="E8" s="5" t="s">
        <v>152</v>
      </c>
      <c r="F8" s="5" t="s">
        <v>153</v>
      </c>
      <c r="J8" s="5" t="str">
        <f t="shared" si="0"/>
        <v xml:space="preserve">01010900000000000001000000-                                                       </v>
      </c>
    </row>
    <row r="9" spans="1:35" x14ac:dyDescent="0.3">
      <c r="A9" s="9"/>
      <c r="J9" s="5" t="str">
        <f t="shared" si="0"/>
        <v/>
      </c>
    </row>
    <row r="10" spans="1:35" x14ac:dyDescent="0.3">
      <c r="A10" s="9"/>
      <c r="J10" s="5" t="str">
        <f t="shared" si="0"/>
        <v/>
      </c>
    </row>
    <row r="11" spans="1:35" x14ac:dyDescent="0.3">
      <c r="A11" s="9"/>
      <c r="B11" s="5" t="s">
        <v>146</v>
      </c>
      <c r="C11" s="5" t="s">
        <v>166</v>
      </c>
      <c r="D11" s="5" t="s">
        <v>167</v>
      </c>
      <c r="E11" s="5" t="s">
        <v>168</v>
      </c>
      <c r="F11" s="5" t="s">
        <v>147</v>
      </c>
      <c r="G11" s="5" t="s">
        <v>169</v>
      </c>
      <c r="H11" s="5" t="s">
        <v>149</v>
      </c>
      <c r="I11" s="5" t="s">
        <v>150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3">
      <c r="A12" s="9">
        <v>6</v>
      </c>
      <c r="B12" s="6" t="s">
        <v>156</v>
      </c>
      <c r="C12" s="6" t="s">
        <v>181</v>
      </c>
      <c r="D12" s="6" t="s">
        <v>170</v>
      </c>
      <c r="E12" s="6" t="s">
        <v>171</v>
      </c>
      <c r="F12" s="6" t="s">
        <v>151</v>
      </c>
      <c r="G12" s="6" t="s">
        <v>172</v>
      </c>
      <c r="H12" s="6" t="s">
        <v>173</v>
      </c>
      <c r="I12" s="6" t="s">
        <v>174</v>
      </c>
      <c r="J12" s="5" t="str">
        <f>B12&amp;C12&amp;D12&amp;E12&amp;F12&amp;G12&amp;H12&amp;I12</f>
        <v xml:space="preserve">0200000000190000000000000000000000000000012025112901000000100000000000001000000   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x14ac:dyDescent="0.3">
      <c r="A13" s="9">
        <v>7</v>
      </c>
      <c r="B13" s="6" t="s">
        <v>156</v>
      </c>
      <c r="C13" s="6" t="s">
        <v>197</v>
      </c>
      <c r="D13" s="6" t="s">
        <v>175</v>
      </c>
      <c r="E13" s="6" t="s">
        <v>171</v>
      </c>
      <c r="F13" s="6" t="s">
        <v>151</v>
      </c>
      <c r="G13" s="6" t="s">
        <v>172</v>
      </c>
      <c r="H13" s="6" t="s">
        <v>173</v>
      </c>
      <c r="I13" s="6" t="s">
        <v>174</v>
      </c>
      <c r="J13" s="5" t="str">
        <f>B13&amp;C13&amp;D13&amp;E13&amp;F13&amp;G13&amp;H13&amp;I13</f>
        <v xml:space="preserve">0201234567850000000000000000000000000000022025112901000000100000000000001000000   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x14ac:dyDescent="0.3">
      <c r="A14" s="9"/>
      <c r="B14"/>
      <c r="C14"/>
      <c r="D14"/>
      <c r="E14"/>
      <c r="F14"/>
      <c r="G14"/>
      <c r="H14"/>
    </row>
    <row r="15" spans="1:35" x14ac:dyDescent="0.3">
      <c r="A15" s="9"/>
      <c r="B15" s="5" t="s">
        <v>146</v>
      </c>
      <c r="C15" s="5" t="s">
        <v>178</v>
      </c>
      <c r="D15" s="5" t="s">
        <v>166</v>
      </c>
      <c r="E15" s="5" t="s">
        <v>167</v>
      </c>
      <c r="F15" s="5" t="s">
        <v>168</v>
      </c>
      <c r="G15" s="5" t="s">
        <v>147</v>
      </c>
      <c r="H15" s="5" t="s">
        <v>149</v>
      </c>
      <c r="I15" s="5"/>
    </row>
    <row r="16" spans="1:35" x14ac:dyDescent="0.3">
      <c r="A16" s="9">
        <v>8</v>
      </c>
      <c r="B16" s="7" t="s">
        <v>158</v>
      </c>
      <c r="C16" s="7" t="s">
        <v>179</v>
      </c>
      <c r="D16" s="7" t="s">
        <v>181</v>
      </c>
      <c r="E16" s="7" t="s">
        <v>176</v>
      </c>
      <c r="F16" s="7" t="s">
        <v>171</v>
      </c>
      <c r="G16" s="7" t="s">
        <v>151</v>
      </c>
      <c r="H16" s="7" t="s">
        <v>173</v>
      </c>
      <c r="I16" s="5"/>
      <c r="J16" s="5" t="str">
        <f>B16&amp;C16&amp;D16&amp;E16&amp;F16&amp;G16&amp;H16</f>
        <v>0301537795460000000019000000000000000000000000000003202511290100000000000001000000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3">
      <c r="A17" s="9">
        <v>9</v>
      </c>
      <c r="B17" s="7" t="s">
        <v>158</v>
      </c>
      <c r="C17" s="7" t="s">
        <v>179</v>
      </c>
      <c r="D17" s="6" t="s">
        <v>197</v>
      </c>
      <c r="E17" s="7" t="s">
        <v>177</v>
      </c>
      <c r="F17" s="7" t="s">
        <v>171</v>
      </c>
      <c r="G17" s="7" t="s">
        <v>151</v>
      </c>
      <c r="H17" s="7" t="s">
        <v>173</v>
      </c>
      <c r="I17" s="5"/>
      <c r="J17" s="5" t="str">
        <f>B17&amp;C17&amp;D17&amp;E17&amp;F17&amp;G17&amp;H17</f>
        <v>0301537795460123456785000000000000000000000000000004202511290100000000000001000000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9"/>
      <c r="I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3">
      <c r="A19" s="9"/>
      <c r="B19" s="5" t="s">
        <v>146</v>
      </c>
      <c r="C19" s="5" t="s">
        <v>182</v>
      </c>
      <c r="D19" s="5" t="s">
        <v>166</v>
      </c>
      <c r="E19" s="5" t="s">
        <v>167</v>
      </c>
      <c r="F19" s="5" t="s">
        <v>168</v>
      </c>
      <c r="G19" s="5" t="s">
        <v>147</v>
      </c>
      <c r="H19" s="5" t="s">
        <v>149</v>
      </c>
      <c r="I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A20" s="9">
        <v>10</v>
      </c>
      <c r="B20" s="8" t="s">
        <v>159</v>
      </c>
      <c r="C20" s="8" t="s">
        <v>179</v>
      </c>
      <c r="D20" s="8" t="s">
        <v>181</v>
      </c>
      <c r="E20" s="8" t="s">
        <v>183</v>
      </c>
      <c r="F20" s="8" t="s">
        <v>171</v>
      </c>
      <c r="G20" s="8" t="s">
        <v>151</v>
      </c>
      <c r="H20" s="8" t="s">
        <v>173</v>
      </c>
      <c r="I20" s="5"/>
      <c r="J20" s="5" t="str">
        <f>B20&amp;C20&amp;D20&amp;E20&amp;F20&amp;G20&amp;H20</f>
        <v>0401537795460000000019000000000000000000000000000005202511290100000000000001000000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x14ac:dyDescent="0.3">
      <c r="A21" s="9">
        <v>11</v>
      </c>
      <c r="B21" s="8" t="s">
        <v>159</v>
      </c>
      <c r="C21" s="8" t="s">
        <v>179</v>
      </c>
      <c r="D21" s="8" t="s">
        <v>197</v>
      </c>
      <c r="E21" s="8" t="s">
        <v>184</v>
      </c>
      <c r="F21" s="8" t="s">
        <v>171</v>
      </c>
      <c r="G21" s="8" t="s">
        <v>151</v>
      </c>
      <c r="H21" s="8" t="s">
        <v>173</v>
      </c>
      <c r="I21" s="5"/>
      <c r="J21" s="5" t="str">
        <f>B21&amp;C21&amp;D21&amp;E21&amp;F21&amp;G21&amp;H21</f>
        <v>0401537795460123456785000000000000000000000000000006202511290100000000000001000000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3">
      <c r="A22" s="9"/>
      <c r="I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s="9">
        <v>18</v>
      </c>
      <c r="I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I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I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I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I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" x14ac:dyDescent="0.3">
      <c r="A29" s="1" t="s">
        <v>0</v>
      </c>
      <c r="B29" s="2" t="s">
        <v>1</v>
      </c>
      <c r="C29" s="5" t="s">
        <v>188</v>
      </c>
      <c r="D29" s="5" t="s">
        <v>189</v>
      </c>
      <c r="E29" s="5" t="s">
        <v>191</v>
      </c>
      <c r="I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" x14ac:dyDescent="0.3">
      <c r="A30" s="1" t="s">
        <v>4</v>
      </c>
      <c r="B30" s="2" t="s">
        <v>30</v>
      </c>
      <c r="D30" s="5" t="s">
        <v>201</v>
      </c>
      <c r="I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" x14ac:dyDescent="0.3">
      <c r="A31" s="2" t="s">
        <v>7</v>
      </c>
      <c r="B31" s="2" t="s">
        <v>8</v>
      </c>
      <c r="D31" s="5" t="s">
        <v>201</v>
      </c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x14ac:dyDescent="0.3">
      <c r="A32" s="2" t="s">
        <v>9</v>
      </c>
      <c r="B32" s="2" t="s">
        <v>10</v>
      </c>
      <c r="D32" s="5" t="s">
        <v>201</v>
      </c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" x14ac:dyDescent="0.3">
      <c r="A33" s="2" t="s">
        <v>9</v>
      </c>
      <c r="B33" s="2" t="s">
        <v>10</v>
      </c>
      <c r="D33" s="5" t="s">
        <v>201</v>
      </c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" x14ac:dyDescent="0.3">
      <c r="A34" s="2" t="s">
        <v>12</v>
      </c>
      <c r="B34" s="2" t="s">
        <v>11</v>
      </c>
      <c r="D34" s="5" t="s">
        <v>201</v>
      </c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x14ac:dyDescent="0.3">
      <c r="A35" s="2" t="s">
        <v>12</v>
      </c>
      <c r="B35" s="2" t="s">
        <v>11</v>
      </c>
      <c r="D35" s="5" t="s">
        <v>201</v>
      </c>
      <c r="I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" x14ac:dyDescent="0.3">
      <c r="A36" s="2" t="s">
        <v>12</v>
      </c>
      <c r="B36" s="2" t="s">
        <v>11</v>
      </c>
      <c r="D36" s="5" t="s">
        <v>201</v>
      </c>
      <c r="I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" x14ac:dyDescent="0.3">
      <c r="A37" s="2" t="s">
        <v>12</v>
      </c>
      <c r="B37" s="2" t="s">
        <v>11</v>
      </c>
      <c r="D37" s="5" t="s">
        <v>201</v>
      </c>
      <c r="I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" x14ac:dyDescent="0.3">
      <c r="A38" s="2" t="s">
        <v>20</v>
      </c>
      <c r="B38" s="2" t="s">
        <v>21</v>
      </c>
      <c r="D38" s="5" t="s">
        <v>201</v>
      </c>
      <c r="I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" x14ac:dyDescent="0.3">
      <c r="A39" s="2" t="s">
        <v>20</v>
      </c>
      <c r="B39" s="2" t="s">
        <v>21</v>
      </c>
      <c r="D39" s="5" t="s">
        <v>201</v>
      </c>
      <c r="I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" x14ac:dyDescent="0.3">
      <c r="A40" s="2" t="s">
        <v>20</v>
      </c>
      <c r="B40" s="2" t="s">
        <v>21</v>
      </c>
      <c r="D40" s="5" t="s">
        <v>201</v>
      </c>
      <c r="I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" x14ac:dyDescent="0.3">
      <c r="A41" s="2" t="s">
        <v>20</v>
      </c>
      <c r="B41" s="2" t="s">
        <v>21</v>
      </c>
      <c r="D41" s="5" t="s">
        <v>201</v>
      </c>
      <c r="I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" x14ac:dyDescent="0.3">
      <c r="A42" s="2" t="s">
        <v>22</v>
      </c>
      <c r="B42" s="2" t="s">
        <v>23</v>
      </c>
      <c r="D42" s="5" t="s">
        <v>201</v>
      </c>
      <c r="I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" x14ac:dyDescent="0.3">
      <c r="A43" s="2" t="s">
        <v>22</v>
      </c>
      <c r="B43" s="2" t="s">
        <v>23</v>
      </c>
      <c r="D43" s="5" t="s">
        <v>201</v>
      </c>
      <c r="I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" x14ac:dyDescent="0.3">
      <c r="A44" s="2" t="s">
        <v>22</v>
      </c>
      <c r="B44" s="2" t="s">
        <v>23</v>
      </c>
      <c r="D44" s="5" t="s">
        <v>201</v>
      </c>
      <c r="I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" x14ac:dyDescent="0.3">
      <c r="A45" s="2" t="s">
        <v>24</v>
      </c>
      <c r="B45" s="2" t="s">
        <v>25</v>
      </c>
      <c r="D45" s="5" t="s">
        <v>201</v>
      </c>
      <c r="I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x14ac:dyDescent="0.3">
      <c r="A46" s="2" t="s">
        <v>24</v>
      </c>
      <c r="B46" s="2" t="s">
        <v>25</v>
      </c>
      <c r="D46" s="5" t="s">
        <v>201</v>
      </c>
      <c r="I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" x14ac:dyDescent="0.3">
      <c r="A47" s="2" t="s">
        <v>27</v>
      </c>
      <c r="B47" s="2" t="s">
        <v>26</v>
      </c>
      <c r="D47" s="5" t="s">
        <v>201</v>
      </c>
      <c r="I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" x14ac:dyDescent="0.3">
      <c r="A48" s="2" t="s">
        <v>58</v>
      </c>
      <c r="B48" s="2" t="s">
        <v>59</v>
      </c>
      <c r="D48" s="5" t="s">
        <v>201</v>
      </c>
      <c r="I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x14ac:dyDescent="0.3">
      <c r="A49" s="2" t="s">
        <v>60</v>
      </c>
      <c r="B49" s="2" t="s">
        <v>61</v>
      </c>
      <c r="D49" s="5" t="s">
        <v>201</v>
      </c>
      <c r="I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x14ac:dyDescent="0.3">
      <c r="A50" s="2" t="s">
        <v>65</v>
      </c>
      <c r="B50" s="2" t="s">
        <v>67</v>
      </c>
      <c r="D50" s="5" t="s">
        <v>201</v>
      </c>
      <c r="I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x14ac:dyDescent="0.3">
      <c r="A51" s="2" t="s">
        <v>65</v>
      </c>
      <c r="B51" s="2" t="s">
        <v>67</v>
      </c>
      <c r="D51" s="5" t="s">
        <v>201</v>
      </c>
      <c r="I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x14ac:dyDescent="0.3">
      <c r="A52" s="2" t="s">
        <v>65</v>
      </c>
      <c r="B52" s="2" t="s">
        <v>67</v>
      </c>
      <c r="D52" s="5" t="s">
        <v>201</v>
      </c>
      <c r="I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x14ac:dyDescent="0.3">
      <c r="A53" s="2" t="s">
        <v>97</v>
      </c>
      <c r="B53" s="2" t="s">
        <v>98</v>
      </c>
      <c r="D53" s="5" t="s">
        <v>201</v>
      </c>
      <c r="I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x14ac:dyDescent="0.3">
      <c r="A54" s="2" t="s">
        <v>101</v>
      </c>
      <c r="B54" s="2" t="s">
        <v>102</v>
      </c>
      <c r="D54" s="5" t="s">
        <v>201</v>
      </c>
      <c r="I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x14ac:dyDescent="0.3">
      <c r="A55" s="2" t="s">
        <v>104</v>
      </c>
      <c r="B55" s="2" t="s">
        <v>105</v>
      </c>
      <c r="D55" s="5" t="s">
        <v>201</v>
      </c>
      <c r="I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" x14ac:dyDescent="0.3">
      <c r="A56" s="2" t="s">
        <v>108</v>
      </c>
      <c r="B56" s="2" t="s">
        <v>107</v>
      </c>
      <c r="D56" s="5" t="s">
        <v>201</v>
      </c>
      <c r="I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x14ac:dyDescent="0.3">
      <c r="A57" s="2" t="s">
        <v>110</v>
      </c>
      <c r="B57" s="2" t="s">
        <v>111</v>
      </c>
      <c r="D57" s="5" t="s">
        <v>201</v>
      </c>
      <c r="I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x14ac:dyDescent="0.3">
      <c r="A58" s="2" t="s">
        <v>114</v>
      </c>
      <c r="B58" s="2" t="s">
        <v>113</v>
      </c>
      <c r="D58" s="5" t="s">
        <v>201</v>
      </c>
      <c r="I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x14ac:dyDescent="0.3">
      <c r="A59" s="2" t="s">
        <v>116</v>
      </c>
      <c r="B59" s="2" t="s">
        <v>117</v>
      </c>
      <c r="D59" s="5" t="s">
        <v>201</v>
      </c>
      <c r="I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x14ac:dyDescent="0.3">
      <c r="A60" s="2" t="s">
        <v>119</v>
      </c>
      <c r="B60" s="2" t="s">
        <v>120</v>
      </c>
      <c r="D60" s="5" t="s">
        <v>201</v>
      </c>
      <c r="I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x14ac:dyDescent="0.3">
      <c r="A61" s="2" t="s">
        <v>122</v>
      </c>
      <c r="B61" s="2" t="s">
        <v>123</v>
      </c>
      <c r="D61" s="5" t="s">
        <v>201</v>
      </c>
      <c r="I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x14ac:dyDescent="0.3">
      <c r="A62" s="2" t="s">
        <v>125</v>
      </c>
      <c r="B62" s="2" t="s">
        <v>126</v>
      </c>
      <c r="D62" s="5" t="s">
        <v>201</v>
      </c>
      <c r="I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x14ac:dyDescent="0.3">
      <c r="A63" s="2" t="s">
        <v>128</v>
      </c>
      <c r="B63" s="2" t="s">
        <v>129</v>
      </c>
      <c r="D63" s="5" t="s">
        <v>200</v>
      </c>
      <c r="I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x14ac:dyDescent="0.3">
      <c r="A64" s="2" t="s">
        <v>128</v>
      </c>
      <c r="B64" s="2" t="s">
        <v>129</v>
      </c>
      <c r="D64" s="5" t="s">
        <v>200</v>
      </c>
      <c r="I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x14ac:dyDescent="0.3">
      <c r="A65" s="2" t="s">
        <v>131</v>
      </c>
      <c r="B65" s="2" t="s">
        <v>130</v>
      </c>
      <c r="C65" s="5" t="s">
        <v>17</v>
      </c>
      <c r="D65" s="5" t="s">
        <v>190</v>
      </c>
      <c r="E65" s="5" t="s">
        <v>190</v>
      </c>
      <c r="I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x14ac:dyDescent="0.3">
      <c r="A66" s="2" t="s">
        <v>131</v>
      </c>
      <c r="B66" s="2" t="s">
        <v>130</v>
      </c>
      <c r="C66" s="5" t="s">
        <v>19</v>
      </c>
      <c r="D66" s="5" t="s">
        <v>190</v>
      </c>
      <c r="E66" s="5" t="s">
        <v>190</v>
      </c>
      <c r="I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x14ac:dyDescent="0.3">
      <c r="A67" s="2" t="s">
        <v>134</v>
      </c>
      <c r="B67" s="2" t="s">
        <v>133</v>
      </c>
      <c r="D67" s="5" t="s">
        <v>200</v>
      </c>
      <c r="I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x14ac:dyDescent="0.3">
      <c r="A68" s="2" t="s">
        <v>134</v>
      </c>
      <c r="B68" s="2" t="s">
        <v>133</v>
      </c>
      <c r="D68" s="5" t="s">
        <v>200</v>
      </c>
      <c r="I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x14ac:dyDescent="0.3">
      <c r="A69" s="2" t="s">
        <v>136</v>
      </c>
      <c r="B69" s="2" t="s">
        <v>135</v>
      </c>
      <c r="C69" s="5" t="s">
        <v>20</v>
      </c>
      <c r="D69" s="5" t="s">
        <v>190</v>
      </c>
      <c r="E69" s="5" t="s">
        <v>190</v>
      </c>
      <c r="I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x14ac:dyDescent="0.3">
      <c r="A70" s="2" t="s">
        <v>136</v>
      </c>
      <c r="B70" s="2" t="s">
        <v>135</v>
      </c>
      <c r="C70" s="5" t="s">
        <v>22</v>
      </c>
      <c r="D70" s="5" t="s">
        <v>190</v>
      </c>
      <c r="E70" s="5" t="s">
        <v>190</v>
      </c>
      <c r="I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x14ac:dyDescent="0.3">
      <c r="A71" s="2" t="s">
        <v>139</v>
      </c>
      <c r="B71" s="2" t="s">
        <v>138</v>
      </c>
      <c r="D71" s="5" t="s">
        <v>200</v>
      </c>
      <c r="I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x14ac:dyDescent="0.3">
      <c r="A72" s="2" t="s">
        <v>139</v>
      </c>
      <c r="B72" s="2" t="s">
        <v>138</v>
      </c>
      <c r="D72" s="5" t="s">
        <v>200</v>
      </c>
      <c r="I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" x14ac:dyDescent="0.3">
      <c r="A73" s="2" t="s">
        <v>144</v>
      </c>
      <c r="B73" s="2" t="s">
        <v>143</v>
      </c>
      <c r="C73" s="5" t="s">
        <v>24</v>
      </c>
      <c r="D73" s="5" t="s">
        <v>190</v>
      </c>
      <c r="E73" s="5" t="s">
        <v>190</v>
      </c>
      <c r="I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" x14ac:dyDescent="0.3">
      <c r="A74" s="2" t="s">
        <v>144</v>
      </c>
      <c r="B74" s="2" t="s">
        <v>143</v>
      </c>
      <c r="C74" s="5" t="s">
        <v>27</v>
      </c>
      <c r="D74" s="5" t="s">
        <v>190</v>
      </c>
      <c r="E74" s="5" t="s">
        <v>190</v>
      </c>
      <c r="I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x14ac:dyDescent="0.3">
      <c r="I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x14ac:dyDescent="0.3">
      <c r="I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x14ac:dyDescent="0.3">
      <c r="I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x14ac:dyDescent="0.3">
      <c r="I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x14ac:dyDescent="0.3">
      <c r="I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x14ac:dyDescent="0.3">
      <c r="I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9:35" x14ac:dyDescent="0.3">
      <c r="I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9:35" x14ac:dyDescent="0.3">
      <c r="I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9:35" x14ac:dyDescent="0.3">
      <c r="I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9:35" x14ac:dyDescent="0.3">
      <c r="I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9:35" x14ac:dyDescent="0.3">
      <c r="I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9:35" x14ac:dyDescent="0.3">
      <c r="I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9:35" x14ac:dyDescent="0.3">
      <c r="I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9:35" x14ac:dyDescent="0.3">
      <c r="I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9:35" x14ac:dyDescent="0.3">
      <c r="I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9:35" x14ac:dyDescent="0.3">
      <c r="I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9:35" x14ac:dyDescent="0.3">
      <c r="I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9:35" x14ac:dyDescent="0.3">
      <c r="I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9:35" x14ac:dyDescent="0.3">
      <c r="I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9:35" x14ac:dyDescent="0.3">
      <c r="I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9:35" x14ac:dyDescent="0.3">
      <c r="I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9:35" x14ac:dyDescent="0.3">
      <c r="I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9:35" x14ac:dyDescent="0.3">
      <c r="I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9:35" x14ac:dyDescent="0.3">
      <c r="I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9:35" x14ac:dyDescent="0.3">
      <c r="I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9:35" x14ac:dyDescent="0.3">
      <c r="I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9:35" x14ac:dyDescent="0.3">
      <c r="I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9:35" x14ac:dyDescent="0.3">
      <c r="I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9:35" x14ac:dyDescent="0.3">
      <c r="I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9:35" x14ac:dyDescent="0.3">
      <c r="I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9:35" x14ac:dyDescent="0.3">
      <c r="I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9:35" x14ac:dyDescent="0.3">
      <c r="I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9:35" x14ac:dyDescent="0.3">
      <c r="I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9:35" x14ac:dyDescent="0.3">
      <c r="I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9:35" x14ac:dyDescent="0.3">
      <c r="I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9:35" x14ac:dyDescent="0.3">
      <c r="I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9:35" x14ac:dyDescent="0.3">
      <c r="I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9:35" x14ac:dyDescent="0.3">
      <c r="I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9:35" x14ac:dyDescent="0.3">
      <c r="I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9:35" x14ac:dyDescent="0.3">
      <c r="I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9:35" x14ac:dyDescent="0.3">
      <c r="I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9:35" x14ac:dyDescent="0.3">
      <c r="I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9:35" x14ac:dyDescent="0.3">
      <c r="I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9:35" x14ac:dyDescent="0.3">
      <c r="I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9:35" x14ac:dyDescent="0.3">
      <c r="I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9:35" x14ac:dyDescent="0.3">
      <c r="I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9:35" x14ac:dyDescent="0.3">
      <c r="I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9:35" x14ac:dyDescent="0.3">
      <c r="I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9:35" x14ac:dyDescent="0.3">
      <c r="I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9:35" x14ac:dyDescent="0.3">
      <c r="I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9:35" x14ac:dyDescent="0.3">
      <c r="I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9:35" x14ac:dyDescent="0.3">
      <c r="I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9:35" x14ac:dyDescent="0.3">
      <c r="I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9:35" x14ac:dyDescent="0.3">
      <c r="I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9:35" x14ac:dyDescent="0.3">
      <c r="I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9:35" x14ac:dyDescent="0.3">
      <c r="I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9:35" x14ac:dyDescent="0.3">
      <c r="I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9:35" x14ac:dyDescent="0.3">
      <c r="I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9:35" x14ac:dyDescent="0.3">
      <c r="I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9:35" x14ac:dyDescent="0.3">
      <c r="I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9:35" x14ac:dyDescent="0.3">
      <c r="I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9:35" x14ac:dyDescent="0.3">
      <c r="I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9:35" x14ac:dyDescent="0.3">
      <c r="I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9:35" x14ac:dyDescent="0.3">
      <c r="I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9:35" x14ac:dyDescent="0.3">
      <c r="I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9:35" x14ac:dyDescent="0.3">
      <c r="I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9:35" x14ac:dyDescent="0.3">
      <c r="I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9:35" x14ac:dyDescent="0.3">
      <c r="I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9:35" x14ac:dyDescent="0.3">
      <c r="I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9:35" x14ac:dyDescent="0.3">
      <c r="I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9:35" x14ac:dyDescent="0.3">
      <c r="I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9:35" x14ac:dyDescent="0.3">
      <c r="I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9:35" x14ac:dyDescent="0.3">
      <c r="I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9:35" x14ac:dyDescent="0.3">
      <c r="I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9:35" x14ac:dyDescent="0.3">
      <c r="I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9:35" x14ac:dyDescent="0.3">
      <c r="I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9:35" x14ac:dyDescent="0.3">
      <c r="I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9:35" x14ac:dyDescent="0.3">
      <c r="I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9:35" x14ac:dyDescent="0.3">
      <c r="I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9:35" x14ac:dyDescent="0.3">
      <c r="I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9:35" x14ac:dyDescent="0.3">
      <c r="I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9:35" x14ac:dyDescent="0.3">
      <c r="I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9:35" x14ac:dyDescent="0.3">
      <c r="I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9:35" x14ac:dyDescent="0.3">
      <c r="I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9:35" x14ac:dyDescent="0.3">
      <c r="I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9:35" x14ac:dyDescent="0.3">
      <c r="I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9:35" x14ac:dyDescent="0.3">
      <c r="I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9:35" x14ac:dyDescent="0.3">
      <c r="I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9:35" x14ac:dyDescent="0.3">
      <c r="I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9:35" x14ac:dyDescent="0.3">
      <c r="I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9:35" x14ac:dyDescent="0.3">
      <c r="I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9:35" x14ac:dyDescent="0.3">
      <c r="I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8BC7-F040-4167-BCEF-355AF8194519}">
  <dimension ref="A3:AF15"/>
  <sheetViews>
    <sheetView workbookViewId="0">
      <selection activeCell="A27" sqref="A27"/>
    </sheetView>
  </sheetViews>
  <sheetFormatPr defaultRowHeight="14.4" x14ac:dyDescent="0.3"/>
  <cols>
    <col min="1" max="1" width="5.21875" style="5" customWidth="1"/>
    <col min="2" max="2" width="11" style="5" bestFit="1" customWidth="1"/>
    <col min="3" max="3" width="12.33203125" style="5" bestFit="1" customWidth="1"/>
    <col min="4" max="4" width="31.5546875" style="5" bestFit="1" customWidth="1"/>
    <col min="5" max="5" width="15.44140625" style="5" bestFit="1" customWidth="1"/>
    <col min="6" max="6" width="11.6640625" style="5" bestFit="1" customWidth="1"/>
    <col min="7" max="7" width="14.44140625" style="5" bestFit="1" customWidth="1"/>
    <col min="8" max="8" width="18.77734375" style="5" bestFit="1" customWidth="1"/>
    <col min="9" max="9" width="16.109375" style="5" bestFit="1" customWidth="1"/>
    <col min="10" max="10" width="14.88671875" style="5" bestFit="1" customWidth="1"/>
    <col min="11" max="11" width="21.21875" style="5" bestFit="1" customWidth="1"/>
    <col min="12" max="12" width="19.44140625" style="5" bestFit="1" customWidth="1"/>
    <col min="13" max="13" width="19.33203125" style="5" bestFit="1" customWidth="1"/>
    <col min="14" max="14" width="18.21875" style="5" bestFit="1" customWidth="1"/>
    <col min="15" max="17" width="16.109375" style="5" bestFit="1" customWidth="1"/>
    <col min="18" max="26" width="20.44140625" style="5" bestFit="1" customWidth="1"/>
    <col min="27" max="27" width="11.5546875" style="5" bestFit="1" customWidth="1"/>
    <col min="28" max="28" width="18.21875" style="5" bestFit="1" customWidth="1"/>
    <col min="29" max="29" width="15.77734375" style="5" bestFit="1" customWidth="1"/>
    <col min="30" max="30" width="3" bestFit="1" customWidth="1"/>
    <col min="31" max="31" width="15.77734375" customWidth="1"/>
  </cols>
  <sheetData>
    <row r="3" spans="1:32" x14ac:dyDescent="0.3">
      <c r="A3" s="5" t="s">
        <v>204</v>
      </c>
      <c r="B3" s="5" t="s">
        <v>205</v>
      </c>
      <c r="C3" s="5" t="s">
        <v>206</v>
      </c>
      <c r="D3" s="5" t="s">
        <v>167</v>
      </c>
      <c r="E3" s="5" t="s">
        <v>207</v>
      </c>
      <c r="F3" s="5" t="s">
        <v>208</v>
      </c>
      <c r="G3" s="5" t="s">
        <v>147</v>
      </c>
      <c r="H3" s="5" t="s">
        <v>209</v>
      </c>
      <c r="I3" s="5" t="s">
        <v>210</v>
      </c>
      <c r="J3" s="5" t="s">
        <v>211</v>
      </c>
      <c r="K3" s="5" t="s">
        <v>212</v>
      </c>
      <c r="L3" s="5" t="s">
        <v>213</v>
      </c>
      <c r="M3" s="5" t="s">
        <v>214</v>
      </c>
      <c r="N3" s="5" t="s">
        <v>215</v>
      </c>
      <c r="O3" s="5" t="s">
        <v>216</v>
      </c>
      <c r="P3" s="5" t="s">
        <v>217</v>
      </c>
      <c r="Q3" s="5" t="s">
        <v>218</v>
      </c>
      <c r="R3" s="5" t="s">
        <v>219</v>
      </c>
      <c r="S3" s="5" t="s">
        <v>220</v>
      </c>
      <c r="T3" s="5" t="s">
        <v>221</v>
      </c>
      <c r="U3" s="5" t="s">
        <v>222</v>
      </c>
      <c r="V3" s="5" t="s">
        <v>223</v>
      </c>
      <c r="W3" s="5" t="s">
        <v>224</v>
      </c>
      <c r="X3" s="5" t="s">
        <v>225</v>
      </c>
      <c r="Y3" s="5" t="s">
        <v>226</v>
      </c>
      <c r="Z3" s="5" t="s">
        <v>227</v>
      </c>
      <c r="AA3" s="5" t="s">
        <v>228</v>
      </c>
      <c r="AB3" s="5" t="s">
        <v>229</v>
      </c>
      <c r="AC3" s="5" t="s">
        <v>230</v>
      </c>
      <c r="AF3" t="s">
        <v>248</v>
      </c>
    </row>
    <row r="4" spans="1:32" x14ac:dyDescent="0.3">
      <c r="A4" s="5" t="s">
        <v>4</v>
      </c>
      <c r="AE4" t="s">
        <v>247</v>
      </c>
      <c r="AF4">
        <f>LEN(AE4)</f>
        <v>322</v>
      </c>
    </row>
    <row r="5" spans="1:32" x14ac:dyDescent="0.3">
      <c r="A5" s="5" t="s">
        <v>7</v>
      </c>
      <c r="B5" s="5" t="s">
        <v>237</v>
      </c>
      <c r="C5" s="5" t="s">
        <v>4</v>
      </c>
      <c r="D5" s="12" t="s">
        <v>170</v>
      </c>
      <c r="E5" s="5" t="s">
        <v>12</v>
      </c>
      <c r="F5" s="5" t="s">
        <v>4</v>
      </c>
      <c r="G5" s="5" t="s">
        <v>151</v>
      </c>
      <c r="H5" s="5" t="s">
        <v>231</v>
      </c>
      <c r="I5" s="5" t="s">
        <v>234</v>
      </c>
      <c r="J5" s="5" t="s">
        <v>232</v>
      </c>
      <c r="K5" s="5" t="s">
        <v>233</v>
      </c>
      <c r="L5" s="5" t="s">
        <v>233</v>
      </c>
      <c r="M5" s="5" t="s">
        <v>233</v>
      </c>
      <c r="N5" s="5" t="s">
        <v>234</v>
      </c>
      <c r="O5" s="5" t="s">
        <v>234</v>
      </c>
      <c r="P5" s="5" t="s">
        <v>234</v>
      </c>
      <c r="Q5" s="5" t="s">
        <v>234</v>
      </c>
      <c r="R5" s="5" t="s">
        <v>233</v>
      </c>
      <c r="S5" s="5" t="s">
        <v>233</v>
      </c>
      <c r="T5" s="5" t="s">
        <v>233</v>
      </c>
      <c r="U5" s="5" t="s">
        <v>233</v>
      </c>
      <c r="V5" s="5" t="s">
        <v>233</v>
      </c>
      <c r="W5" s="5" t="s">
        <v>233</v>
      </c>
      <c r="X5" s="5" t="s">
        <v>233</v>
      </c>
      <c r="Y5" s="5" t="s">
        <v>233</v>
      </c>
      <c r="Z5" s="5" t="s">
        <v>233</v>
      </c>
      <c r="AA5" s="13" t="s">
        <v>236</v>
      </c>
      <c r="AB5" s="5" t="s">
        <v>7</v>
      </c>
      <c r="AC5" s="5" t="s">
        <v>7</v>
      </c>
      <c r="AE5" t="str">
        <f>B5&amp;C5&amp;D5&amp;E5&amp;F5&amp;G5&amp;H5&amp;I5&amp;J5&amp;K5&amp;L5&amp;M5&amp;N5&amp;O5&amp;P5&amp;Q5&amp;R5&amp;S5&amp;T5&amp;U5&amp;V5&amp;W5&amp;X5&amp;Y5&amp;Z5&amp;AA5&amp;AB5&amp;AC5</f>
        <v>0028391781100000000000000000000000000000141012025111200000000000100020251212000000000000000000000000000000000000000000000000000000001000000000000001000000000000001000000000000001000000000000000000000000000000000000000000000000000000000000000000000000000000000000000000000000000000000000000000000000000000000000000000000022</v>
      </c>
      <c r="AF5">
        <f t="shared" ref="AF5:AF15" si="0">LEN(AE5)</f>
        <v>322</v>
      </c>
    </row>
    <row r="6" spans="1:32" x14ac:dyDescent="0.3">
      <c r="A6" s="5" t="s">
        <v>9</v>
      </c>
      <c r="B6" s="5" t="s">
        <v>238</v>
      </c>
      <c r="C6" s="5" t="s">
        <v>4</v>
      </c>
      <c r="D6" s="12" t="s">
        <v>175</v>
      </c>
      <c r="E6" s="5" t="s">
        <v>12</v>
      </c>
      <c r="F6" s="5" t="s">
        <v>4</v>
      </c>
      <c r="G6" s="5" t="s">
        <v>151</v>
      </c>
      <c r="H6" s="5" t="s">
        <v>231</v>
      </c>
      <c r="I6" s="5" t="s">
        <v>234</v>
      </c>
      <c r="J6" s="5" t="s">
        <v>232</v>
      </c>
      <c r="K6" s="5" t="s">
        <v>233</v>
      </c>
      <c r="L6" s="5" t="s">
        <v>233</v>
      </c>
      <c r="M6" s="5" t="s">
        <v>233</v>
      </c>
      <c r="N6" s="5" t="s">
        <v>233</v>
      </c>
      <c r="O6" s="5" t="s">
        <v>234</v>
      </c>
      <c r="P6" s="5" t="s">
        <v>234</v>
      </c>
      <c r="Q6" s="5" t="s">
        <v>234</v>
      </c>
      <c r="R6" s="5" t="s">
        <v>233</v>
      </c>
      <c r="S6" s="5" t="s">
        <v>233</v>
      </c>
      <c r="T6" s="5" t="s">
        <v>233</v>
      </c>
      <c r="U6" s="5" t="s">
        <v>233</v>
      </c>
      <c r="V6" s="5" t="s">
        <v>233</v>
      </c>
      <c r="W6" s="5" t="s">
        <v>233</v>
      </c>
      <c r="X6" s="5" t="s">
        <v>233</v>
      </c>
      <c r="Y6" s="5" t="s">
        <v>233</v>
      </c>
      <c r="Z6" s="5" t="s">
        <v>233</v>
      </c>
      <c r="AA6" s="13" t="s">
        <v>236</v>
      </c>
      <c r="AB6" s="5" t="s">
        <v>7</v>
      </c>
      <c r="AC6" s="5" t="s">
        <v>7</v>
      </c>
      <c r="AE6" t="str">
        <f t="shared" ref="AE6:AE14" si="1">B6&amp;C6&amp;D6&amp;E6&amp;F6&amp;G6&amp;H6&amp;I6&amp;J6&amp;K6&amp;L6&amp;M6&amp;N6&amp;O6&amp;P6&amp;Q6&amp;R6&amp;S6&amp;T6&amp;U6&amp;V6&amp;W6&amp;X6&amp;Y6&amp;Z6&amp;AA6&amp;AB6&amp;AC6</f>
        <v>00607619061000000000000000000000000000002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6">
        <f t="shared" si="0"/>
        <v>322</v>
      </c>
    </row>
    <row r="7" spans="1:32" x14ac:dyDescent="0.3">
      <c r="A7" s="5" t="s">
        <v>12</v>
      </c>
      <c r="B7" s="5" t="s">
        <v>239</v>
      </c>
      <c r="C7" s="5" t="s">
        <v>4</v>
      </c>
      <c r="D7" s="12" t="s">
        <v>176</v>
      </c>
      <c r="E7" s="5" t="s">
        <v>12</v>
      </c>
      <c r="F7" s="5" t="s">
        <v>4</v>
      </c>
      <c r="G7" s="5" t="s">
        <v>151</v>
      </c>
      <c r="H7" s="5" t="s">
        <v>231</v>
      </c>
      <c r="I7" s="5" t="s">
        <v>234</v>
      </c>
      <c r="J7" s="5" t="s">
        <v>232</v>
      </c>
      <c r="K7" s="5" t="s">
        <v>233</v>
      </c>
      <c r="L7" s="5" t="s">
        <v>233</v>
      </c>
      <c r="M7" s="5" t="s">
        <v>233</v>
      </c>
      <c r="N7" s="5" t="s">
        <v>233</v>
      </c>
      <c r="O7" s="5" t="s">
        <v>234</v>
      </c>
      <c r="P7" s="5" t="s">
        <v>234</v>
      </c>
      <c r="Q7" s="5" t="s">
        <v>234</v>
      </c>
      <c r="R7" s="5" t="s">
        <v>233</v>
      </c>
      <c r="S7" s="5" t="s">
        <v>233</v>
      </c>
      <c r="T7" s="5" t="s">
        <v>233</v>
      </c>
      <c r="U7" s="5" t="s">
        <v>233</v>
      </c>
      <c r="V7" s="5" t="s">
        <v>233</v>
      </c>
      <c r="W7" s="5" t="s">
        <v>233</v>
      </c>
      <c r="X7" s="5" t="s">
        <v>233</v>
      </c>
      <c r="Y7" s="5" t="s">
        <v>233</v>
      </c>
      <c r="Z7" s="5" t="s">
        <v>233</v>
      </c>
      <c r="AA7" s="13" t="s">
        <v>236</v>
      </c>
      <c r="AB7" s="5" t="s">
        <v>7</v>
      </c>
      <c r="AC7" s="5" t="s">
        <v>7</v>
      </c>
      <c r="AE7" t="str">
        <f t="shared" si="1"/>
        <v>003329607k1000000000000000000000000000003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7">
        <f t="shared" si="0"/>
        <v>322</v>
      </c>
    </row>
    <row r="8" spans="1:32" x14ac:dyDescent="0.3">
      <c r="A8" s="5" t="s">
        <v>15</v>
      </c>
      <c r="B8" s="5" t="s">
        <v>240</v>
      </c>
      <c r="C8" s="5" t="s">
        <v>4</v>
      </c>
      <c r="D8" s="12" t="s">
        <v>177</v>
      </c>
      <c r="E8" s="5" t="s">
        <v>12</v>
      </c>
      <c r="F8" s="5" t="s">
        <v>4</v>
      </c>
      <c r="G8" s="5" t="s">
        <v>151</v>
      </c>
      <c r="H8" s="5" t="s">
        <v>231</v>
      </c>
      <c r="I8" s="5" t="s">
        <v>234</v>
      </c>
      <c r="J8" s="5" t="s">
        <v>232</v>
      </c>
      <c r="K8" s="5" t="s">
        <v>233</v>
      </c>
      <c r="L8" s="5" t="s">
        <v>233</v>
      </c>
      <c r="M8" s="5" t="s">
        <v>233</v>
      </c>
      <c r="N8" s="5" t="s">
        <v>233</v>
      </c>
      <c r="O8" s="5" t="s">
        <v>234</v>
      </c>
      <c r="P8" s="5" t="s">
        <v>234</v>
      </c>
      <c r="Q8" s="5" t="s">
        <v>234</v>
      </c>
      <c r="R8" s="5" t="s">
        <v>233</v>
      </c>
      <c r="S8" s="5" t="s">
        <v>233</v>
      </c>
      <c r="T8" s="5" t="s">
        <v>233</v>
      </c>
      <c r="U8" s="5" t="s">
        <v>233</v>
      </c>
      <c r="V8" s="5" t="s">
        <v>233</v>
      </c>
      <c r="W8" s="5" t="s">
        <v>233</v>
      </c>
      <c r="X8" s="5" t="s">
        <v>233</v>
      </c>
      <c r="Y8" s="5" t="s">
        <v>233</v>
      </c>
      <c r="Z8" s="5" t="s">
        <v>233</v>
      </c>
      <c r="AA8" s="13" t="s">
        <v>236</v>
      </c>
      <c r="AB8" s="5" t="s">
        <v>7</v>
      </c>
      <c r="AC8" s="5" t="s">
        <v>7</v>
      </c>
      <c r="AE8" t="str">
        <f t="shared" si="1"/>
        <v>00715797191000000000000000000000000000004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8">
        <f t="shared" si="0"/>
        <v>322</v>
      </c>
    </row>
    <row r="9" spans="1:32" x14ac:dyDescent="0.3">
      <c r="A9" s="5" t="s">
        <v>17</v>
      </c>
      <c r="B9" s="5" t="s">
        <v>241</v>
      </c>
      <c r="C9" s="5" t="s">
        <v>4</v>
      </c>
      <c r="D9" s="12" t="s">
        <v>183</v>
      </c>
      <c r="E9" s="5" t="s">
        <v>12</v>
      </c>
      <c r="F9" s="5" t="s">
        <v>4</v>
      </c>
      <c r="G9" s="5" t="s">
        <v>151</v>
      </c>
      <c r="H9" s="5" t="s">
        <v>231</v>
      </c>
      <c r="I9" s="5" t="s">
        <v>234</v>
      </c>
      <c r="J9" s="5" t="s">
        <v>232</v>
      </c>
      <c r="K9" s="5" t="s">
        <v>233</v>
      </c>
      <c r="L9" s="5" t="s">
        <v>233</v>
      </c>
      <c r="M9" s="5" t="s">
        <v>233</v>
      </c>
      <c r="N9" s="5" t="s">
        <v>233</v>
      </c>
      <c r="O9" s="5" t="s">
        <v>234</v>
      </c>
      <c r="P9" s="5" t="s">
        <v>234</v>
      </c>
      <c r="Q9" s="5" t="s">
        <v>234</v>
      </c>
      <c r="R9" s="5" t="s">
        <v>233</v>
      </c>
      <c r="S9" s="5" t="s">
        <v>233</v>
      </c>
      <c r="T9" s="5" t="s">
        <v>233</v>
      </c>
      <c r="U9" s="5" t="s">
        <v>233</v>
      </c>
      <c r="V9" s="5" t="s">
        <v>233</v>
      </c>
      <c r="W9" s="5" t="s">
        <v>233</v>
      </c>
      <c r="X9" s="5" t="s">
        <v>233</v>
      </c>
      <c r="Y9" s="5" t="s">
        <v>233</v>
      </c>
      <c r="Z9" s="5" t="s">
        <v>233</v>
      </c>
      <c r="AA9" s="13" t="s">
        <v>236</v>
      </c>
      <c r="AB9" s="5" t="s">
        <v>7</v>
      </c>
      <c r="AC9" s="5" t="s">
        <v>7</v>
      </c>
      <c r="AE9" t="str">
        <f t="shared" si="1"/>
        <v>00474401491000000000000000000000000000005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9">
        <f t="shared" si="0"/>
        <v>322</v>
      </c>
    </row>
    <row r="10" spans="1:32" x14ac:dyDescent="0.3">
      <c r="A10" s="5" t="s">
        <v>19</v>
      </c>
      <c r="B10" s="5" t="s">
        <v>242</v>
      </c>
      <c r="C10" s="5" t="s">
        <v>4</v>
      </c>
      <c r="D10" s="12" t="s">
        <v>184</v>
      </c>
      <c r="E10" s="5" t="s">
        <v>12</v>
      </c>
      <c r="F10" s="5" t="s">
        <v>4</v>
      </c>
      <c r="G10" s="5" t="s">
        <v>151</v>
      </c>
      <c r="H10" s="5" t="s">
        <v>231</v>
      </c>
      <c r="I10" s="5" t="s">
        <v>234</v>
      </c>
      <c r="J10" s="5" t="s">
        <v>232</v>
      </c>
      <c r="K10" s="5" t="s">
        <v>233</v>
      </c>
      <c r="L10" s="5" t="s">
        <v>233</v>
      </c>
      <c r="M10" s="5" t="s">
        <v>233</v>
      </c>
      <c r="N10" s="5" t="s">
        <v>233</v>
      </c>
      <c r="O10" s="5" t="s">
        <v>234</v>
      </c>
      <c r="P10" s="5" t="s">
        <v>234</v>
      </c>
      <c r="Q10" s="5" t="s">
        <v>234</v>
      </c>
      <c r="R10" s="5" t="s">
        <v>233</v>
      </c>
      <c r="S10" s="5" t="s">
        <v>233</v>
      </c>
      <c r="T10" s="5" t="s">
        <v>233</v>
      </c>
      <c r="U10" s="5" t="s">
        <v>233</v>
      </c>
      <c r="V10" s="5" t="s">
        <v>233</v>
      </c>
      <c r="W10" s="5" t="s">
        <v>233</v>
      </c>
      <c r="X10" s="5" t="s">
        <v>233</v>
      </c>
      <c r="Y10" s="5" t="s">
        <v>233</v>
      </c>
      <c r="Z10" s="5" t="s">
        <v>233</v>
      </c>
      <c r="AA10" s="13" t="s">
        <v>236</v>
      </c>
      <c r="AB10" s="5" t="s">
        <v>7</v>
      </c>
      <c r="AC10" s="5" t="s">
        <v>7</v>
      </c>
      <c r="AE10" t="str">
        <f t="shared" si="1"/>
        <v>00297880651000000000000000000000000000006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0">
        <f t="shared" si="0"/>
        <v>322</v>
      </c>
    </row>
    <row r="11" spans="1:32" x14ac:dyDescent="0.3">
      <c r="A11" s="5" t="s">
        <v>20</v>
      </c>
      <c r="B11" s="5" t="s">
        <v>243</v>
      </c>
      <c r="C11" s="5" t="s">
        <v>4</v>
      </c>
      <c r="D11" s="12" t="s">
        <v>249</v>
      </c>
      <c r="E11" s="5" t="s">
        <v>12</v>
      </c>
      <c r="F11" s="5" t="s">
        <v>4</v>
      </c>
      <c r="G11" s="5" t="s">
        <v>151</v>
      </c>
      <c r="H11" s="5" t="s">
        <v>231</v>
      </c>
      <c r="I11" s="5" t="s">
        <v>234</v>
      </c>
      <c r="J11" s="5" t="s">
        <v>232</v>
      </c>
      <c r="K11" s="5" t="s">
        <v>233</v>
      </c>
      <c r="L11" s="5" t="s">
        <v>233</v>
      </c>
      <c r="M11" s="5" t="s">
        <v>233</v>
      </c>
      <c r="N11" s="5" t="s">
        <v>233</v>
      </c>
      <c r="O11" s="5" t="s">
        <v>234</v>
      </c>
      <c r="P11" s="5" t="s">
        <v>234</v>
      </c>
      <c r="Q11" s="5" t="s">
        <v>234</v>
      </c>
      <c r="R11" s="5" t="s">
        <v>233</v>
      </c>
      <c r="S11" s="5" t="s">
        <v>233</v>
      </c>
      <c r="T11" s="5" t="s">
        <v>233</v>
      </c>
      <c r="U11" s="5" t="s">
        <v>233</v>
      </c>
      <c r="V11" s="5" t="s">
        <v>233</v>
      </c>
      <c r="W11" s="5" t="s">
        <v>233</v>
      </c>
      <c r="X11" s="5" t="s">
        <v>233</v>
      </c>
      <c r="Y11" s="5" t="s">
        <v>233</v>
      </c>
      <c r="Z11" s="5" t="s">
        <v>233</v>
      </c>
      <c r="AA11" s="13" t="s">
        <v>236</v>
      </c>
      <c r="AB11" s="5" t="s">
        <v>7</v>
      </c>
      <c r="AC11" s="5" t="s">
        <v>7</v>
      </c>
      <c r="AE11" t="str">
        <f t="shared" si="1"/>
        <v>00338879651000000000000000000000000000007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1">
        <f t="shared" si="0"/>
        <v>322</v>
      </c>
    </row>
    <row r="12" spans="1:32" x14ac:dyDescent="0.3">
      <c r="A12" s="5" t="s">
        <v>22</v>
      </c>
      <c r="B12" s="5" t="s">
        <v>244</v>
      </c>
      <c r="C12" s="5" t="s">
        <v>4</v>
      </c>
      <c r="D12" s="12" t="s">
        <v>250</v>
      </c>
      <c r="E12" s="5" t="s">
        <v>12</v>
      </c>
      <c r="F12" s="5" t="s">
        <v>4</v>
      </c>
      <c r="G12" s="5" t="s">
        <v>151</v>
      </c>
      <c r="H12" s="5" t="s">
        <v>231</v>
      </c>
      <c r="I12" s="5" t="s">
        <v>234</v>
      </c>
      <c r="J12" s="5" t="s">
        <v>232</v>
      </c>
      <c r="K12" s="5" t="s">
        <v>233</v>
      </c>
      <c r="L12" s="5" t="s">
        <v>233</v>
      </c>
      <c r="M12" s="5" t="s">
        <v>233</v>
      </c>
      <c r="N12" s="5" t="s">
        <v>233</v>
      </c>
      <c r="O12" s="5" t="s">
        <v>234</v>
      </c>
      <c r="P12" s="5" t="s">
        <v>234</v>
      </c>
      <c r="Q12" s="5" t="s">
        <v>234</v>
      </c>
      <c r="R12" s="5" t="s">
        <v>233</v>
      </c>
      <c r="S12" s="5" t="s">
        <v>233</v>
      </c>
      <c r="T12" s="5" t="s">
        <v>233</v>
      </c>
      <c r="U12" s="5" t="s">
        <v>233</v>
      </c>
      <c r="V12" s="5" t="s">
        <v>233</v>
      </c>
      <c r="W12" s="5" t="s">
        <v>233</v>
      </c>
      <c r="X12" s="5" t="s">
        <v>233</v>
      </c>
      <c r="Y12" s="5" t="s">
        <v>233</v>
      </c>
      <c r="Z12" s="5" t="s">
        <v>233</v>
      </c>
      <c r="AA12" s="13" t="s">
        <v>236</v>
      </c>
      <c r="AB12" s="5" t="s">
        <v>7</v>
      </c>
      <c r="AC12" s="5" t="s">
        <v>7</v>
      </c>
      <c r="AE12" t="str">
        <f t="shared" si="1"/>
        <v>00492317331000000000000000000000000000008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2">
        <f t="shared" si="0"/>
        <v>322</v>
      </c>
    </row>
    <row r="13" spans="1:32" x14ac:dyDescent="0.3">
      <c r="A13" s="5" t="s">
        <v>24</v>
      </c>
      <c r="B13" s="5" t="s">
        <v>245</v>
      </c>
      <c r="C13" s="5" t="s">
        <v>4</v>
      </c>
      <c r="D13" s="12" t="s">
        <v>251</v>
      </c>
      <c r="E13" s="5" t="s">
        <v>12</v>
      </c>
      <c r="F13" s="5" t="s">
        <v>4</v>
      </c>
      <c r="G13" s="5" t="s">
        <v>151</v>
      </c>
      <c r="H13" s="5" t="s">
        <v>231</v>
      </c>
      <c r="I13" s="5" t="s">
        <v>234</v>
      </c>
      <c r="J13" s="5" t="s">
        <v>232</v>
      </c>
      <c r="K13" s="5" t="s">
        <v>233</v>
      </c>
      <c r="L13" s="5" t="s">
        <v>233</v>
      </c>
      <c r="M13" s="5" t="s">
        <v>233</v>
      </c>
      <c r="N13" s="5" t="s">
        <v>233</v>
      </c>
      <c r="O13" s="5" t="s">
        <v>234</v>
      </c>
      <c r="P13" s="5" t="s">
        <v>234</v>
      </c>
      <c r="Q13" s="5" t="s">
        <v>234</v>
      </c>
      <c r="R13" s="5" t="s">
        <v>233</v>
      </c>
      <c r="S13" s="5" t="s">
        <v>233</v>
      </c>
      <c r="T13" s="5" t="s">
        <v>233</v>
      </c>
      <c r="U13" s="5" t="s">
        <v>233</v>
      </c>
      <c r="V13" s="5" t="s">
        <v>233</v>
      </c>
      <c r="W13" s="5" t="s">
        <v>233</v>
      </c>
      <c r="X13" s="5" t="s">
        <v>233</v>
      </c>
      <c r="Y13" s="5" t="s">
        <v>233</v>
      </c>
      <c r="Z13" s="5" t="s">
        <v>233</v>
      </c>
      <c r="AA13" s="13" t="s">
        <v>236</v>
      </c>
      <c r="AB13" s="5" t="s">
        <v>7</v>
      </c>
      <c r="AC13" s="5" t="s">
        <v>7</v>
      </c>
      <c r="AE13" t="str">
        <f t="shared" si="1"/>
        <v>00272581821000000000000000000000000000009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3">
        <f t="shared" si="0"/>
        <v>322</v>
      </c>
    </row>
    <row r="14" spans="1:32" x14ac:dyDescent="0.3">
      <c r="A14" s="5" t="s">
        <v>27</v>
      </c>
      <c r="B14" s="5" t="s">
        <v>246</v>
      </c>
      <c r="C14" s="5" t="s">
        <v>4</v>
      </c>
      <c r="D14" s="12" t="s">
        <v>252</v>
      </c>
      <c r="E14" s="5" t="s">
        <v>12</v>
      </c>
      <c r="F14" s="5" t="s">
        <v>4</v>
      </c>
      <c r="G14" s="5" t="s">
        <v>151</v>
      </c>
      <c r="H14" s="5" t="s">
        <v>231</v>
      </c>
      <c r="I14" s="5" t="s">
        <v>234</v>
      </c>
      <c r="J14" s="5" t="s">
        <v>232</v>
      </c>
      <c r="K14" s="5" t="s">
        <v>233</v>
      </c>
      <c r="L14" s="5" t="s">
        <v>233</v>
      </c>
      <c r="M14" s="5" t="s">
        <v>233</v>
      </c>
      <c r="N14" s="5" t="s">
        <v>233</v>
      </c>
      <c r="O14" s="5" t="s">
        <v>234</v>
      </c>
      <c r="P14" s="5" t="s">
        <v>234</v>
      </c>
      <c r="Q14" s="5" t="s">
        <v>234</v>
      </c>
      <c r="R14" s="5" t="s">
        <v>233</v>
      </c>
      <c r="S14" s="5" t="s">
        <v>233</v>
      </c>
      <c r="T14" s="5" t="s">
        <v>233</v>
      </c>
      <c r="U14" s="5" t="s">
        <v>233</v>
      </c>
      <c r="V14" s="5" t="s">
        <v>233</v>
      </c>
      <c r="W14" s="5" t="s">
        <v>233</v>
      </c>
      <c r="X14" s="5" t="s">
        <v>233</v>
      </c>
      <c r="Y14" s="5" t="s">
        <v>233</v>
      </c>
      <c r="Z14" s="5" t="s">
        <v>233</v>
      </c>
      <c r="AA14" s="13" t="s">
        <v>236</v>
      </c>
      <c r="AB14" s="5" t="s">
        <v>7</v>
      </c>
      <c r="AC14" s="5" t="s">
        <v>7</v>
      </c>
      <c r="AE14" t="str">
        <f t="shared" si="1"/>
        <v>00710851981000000000000000000000000000010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4">
        <f t="shared" si="0"/>
        <v>322</v>
      </c>
    </row>
    <row r="15" spans="1:32" x14ac:dyDescent="0.3">
      <c r="A15" s="5" t="s">
        <v>28</v>
      </c>
      <c r="B15" s="5" t="s">
        <v>253</v>
      </c>
      <c r="C15" s="5" t="s">
        <v>4</v>
      </c>
      <c r="D15" s="12" t="s">
        <v>170</v>
      </c>
      <c r="E15" s="5" t="s">
        <v>12</v>
      </c>
      <c r="F15" s="5" t="s">
        <v>7</v>
      </c>
      <c r="G15" s="5" t="s">
        <v>151</v>
      </c>
      <c r="H15" s="5" t="s">
        <v>231</v>
      </c>
      <c r="I15" s="5" t="s">
        <v>233</v>
      </c>
      <c r="J15" s="5" t="s">
        <v>232</v>
      </c>
      <c r="K15" s="5" t="s">
        <v>233</v>
      </c>
      <c r="L15" s="5" t="s">
        <v>233</v>
      </c>
      <c r="M15" s="5" t="s">
        <v>233</v>
      </c>
      <c r="N15" s="5" t="s">
        <v>233</v>
      </c>
      <c r="O15" s="5" t="s">
        <v>234</v>
      </c>
      <c r="P15" s="5" t="s">
        <v>234</v>
      </c>
      <c r="Q15" s="5" t="s">
        <v>234</v>
      </c>
      <c r="R15" s="5" t="s">
        <v>233</v>
      </c>
      <c r="S15" s="5" t="s">
        <v>233</v>
      </c>
      <c r="T15" s="5" t="s">
        <v>233</v>
      </c>
      <c r="U15" s="5" t="s">
        <v>233</v>
      </c>
      <c r="V15" s="5" t="s">
        <v>233</v>
      </c>
      <c r="W15" s="5" t="s">
        <v>233</v>
      </c>
      <c r="X15" s="5" t="s">
        <v>233</v>
      </c>
      <c r="Y15" s="5" t="s">
        <v>233</v>
      </c>
      <c r="Z15" s="5" t="s">
        <v>233</v>
      </c>
      <c r="AA15" s="13" t="s">
        <v>236</v>
      </c>
      <c r="AB15" s="5" t="s">
        <v>7</v>
      </c>
      <c r="AC15" s="5" t="s">
        <v>7</v>
      </c>
      <c r="AE15" t="str">
        <f>B15&amp;C15&amp;D15&amp;E15&amp;F15&amp;G15&amp;H15&amp;I15&amp;J15&amp;K15&amp;L15&amp;M15&amp;N15&amp;O15&amp;P15&amp;Q15&amp;R15&amp;S15&amp;T15&amp;U15&amp;V15&amp;W15&amp;X15&amp;Y15&amp;Z15&amp;AA15&amp;AB15&amp;AC15</f>
        <v>01275585901000000000000000000000000000001420120251112000000000000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5">
        <f t="shared" si="0"/>
        <v>322</v>
      </c>
    </row>
  </sheetData>
  <conditionalFormatting sqref="AF1:AF1048576">
    <cfRule type="cellIs" dxfId="1" priority="1" operator="notEqual">
      <formula>322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49CF-118F-4A61-8377-C0F111F3D277}">
  <sheetPr filterMode="1"/>
  <dimension ref="A2:AF44"/>
  <sheetViews>
    <sheetView tabSelected="1" topLeftCell="A8" workbookViewId="0">
      <selection activeCell="C19" sqref="C19"/>
    </sheetView>
  </sheetViews>
  <sheetFormatPr defaultRowHeight="14.4" x14ac:dyDescent="0.3"/>
  <cols>
    <col min="1" max="1" width="14.109375" style="5" bestFit="1" customWidth="1"/>
    <col min="2" max="2" width="151.77734375" style="5" customWidth="1"/>
    <col min="3" max="3" width="12.33203125" style="5" bestFit="1" customWidth="1"/>
    <col min="4" max="4" width="31.5546875" style="5" bestFit="1" customWidth="1"/>
    <col min="5" max="5" width="15.44140625" style="5" bestFit="1" customWidth="1"/>
    <col min="6" max="6" width="11.6640625" style="5" bestFit="1" customWidth="1"/>
    <col min="7" max="7" width="14.44140625" style="5" bestFit="1" customWidth="1"/>
    <col min="8" max="8" width="18.77734375" style="5" bestFit="1" customWidth="1"/>
    <col min="9" max="9" width="16.109375" style="5" bestFit="1" customWidth="1"/>
    <col min="10" max="10" width="14.88671875" style="5" bestFit="1" customWidth="1"/>
    <col min="11" max="11" width="21.21875" style="5" bestFit="1" customWidth="1"/>
    <col min="12" max="12" width="19.44140625" style="5" bestFit="1" customWidth="1"/>
    <col min="13" max="13" width="19.33203125" style="5" bestFit="1" customWidth="1"/>
    <col min="14" max="14" width="18.21875" style="5" bestFit="1" customWidth="1"/>
    <col min="15" max="17" width="16.109375" style="5" bestFit="1" customWidth="1"/>
    <col min="18" max="26" width="20.44140625" style="5" bestFit="1" customWidth="1"/>
    <col min="27" max="27" width="11.5546875" style="5" bestFit="1" customWidth="1"/>
    <col min="28" max="28" width="18.21875" style="5" bestFit="1" customWidth="1"/>
    <col min="29" max="29" width="15.77734375" style="5" bestFit="1" customWidth="1"/>
    <col min="30" max="30" width="3" bestFit="1" customWidth="1"/>
    <col min="31" max="31" width="15.77734375" customWidth="1"/>
  </cols>
  <sheetData>
    <row r="2" spans="1:32" x14ac:dyDescent="0.3">
      <c r="I2" s="15">
        <f>LEN(I6)</f>
        <v>15</v>
      </c>
      <c r="N2" s="15">
        <f>LEN(N6)</f>
        <v>15</v>
      </c>
      <c r="R2" s="15">
        <f>LEN(R6)</f>
        <v>15</v>
      </c>
    </row>
    <row r="3" spans="1:32" x14ac:dyDescent="0.3">
      <c r="A3" s="5" t="s">
        <v>204</v>
      </c>
      <c r="B3" s="5" t="s">
        <v>205</v>
      </c>
      <c r="C3" s="5" t="s">
        <v>206</v>
      </c>
      <c r="D3" s="5" t="s">
        <v>167</v>
      </c>
      <c r="E3" s="5" t="s">
        <v>207</v>
      </c>
      <c r="F3" s="5" t="s">
        <v>208</v>
      </c>
      <c r="G3" s="5" t="s">
        <v>147</v>
      </c>
      <c r="H3" s="5" t="s">
        <v>209</v>
      </c>
      <c r="I3" s="5" t="s">
        <v>210</v>
      </c>
      <c r="J3" s="5" t="s">
        <v>211</v>
      </c>
      <c r="K3" s="5" t="s">
        <v>212</v>
      </c>
      <c r="L3" s="5" t="s">
        <v>213</v>
      </c>
      <c r="M3" s="5" t="s">
        <v>214</v>
      </c>
      <c r="N3" s="5" t="s">
        <v>215</v>
      </c>
      <c r="O3" s="5" t="s">
        <v>216</v>
      </c>
      <c r="P3" s="5" t="s">
        <v>217</v>
      </c>
      <c r="Q3" s="5" t="s">
        <v>218</v>
      </c>
      <c r="R3" s="5" t="s">
        <v>219</v>
      </c>
      <c r="S3" s="5" t="s">
        <v>220</v>
      </c>
      <c r="T3" s="5" t="s">
        <v>221</v>
      </c>
      <c r="U3" s="5" t="s">
        <v>222</v>
      </c>
      <c r="V3" s="5" t="s">
        <v>223</v>
      </c>
      <c r="W3" s="5" t="s">
        <v>224</v>
      </c>
      <c r="X3" s="5" t="s">
        <v>225</v>
      </c>
      <c r="Y3" s="5" t="s">
        <v>226</v>
      </c>
      <c r="Z3" s="5" t="s">
        <v>227</v>
      </c>
      <c r="AA3" s="5" t="s">
        <v>228</v>
      </c>
      <c r="AB3" s="5" t="s">
        <v>229</v>
      </c>
      <c r="AC3" s="5" t="s">
        <v>230</v>
      </c>
      <c r="AF3" t="s">
        <v>248</v>
      </c>
    </row>
    <row r="4" spans="1:32" x14ac:dyDescent="0.3">
      <c r="A4" s="5" t="s">
        <v>4</v>
      </c>
      <c r="AE4" t="s">
        <v>254</v>
      </c>
      <c r="AF4">
        <f>LEN(AE4)</f>
        <v>321</v>
      </c>
    </row>
    <row r="5" spans="1:32" x14ac:dyDescent="0.3">
      <c r="A5" s="5" t="s">
        <v>7</v>
      </c>
      <c r="B5" s="14" t="s">
        <v>255</v>
      </c>
      <c r="C5" s="5" t="s">
        <v>4</v>
      </c>
      <c r="D5" s="12" t="s">
        <v>170</v>
      </c>
      <c r="E5" s="5" t="s">
        <v>12</v>
      </c>
      <c r="F5" s="5" t="s">
        <v>4</v>
      </c>
      <c r="G5" s="5" t="s">
        <v>151</v>
      </c>
      <c r="H5" s="5" t="s">
        <v>258</v>
      </c>
      <c r="I5" s="5" t="s">
        <v>234</v>
      </c>
      <c r="J5" s="5" t="s">
        <v>232</v>
      </c>
      <c r="K5" s="5" t="s">
        <v>233</v>
      </c>
      <c r="L5" s="5" t="s">
        <v>233</v>
      </c>
      <c r="M5" s="5" t="s">
        <v>233</v>
      </c>
      <c r="N5" s="5" t="s">
        <v>234</v>
      </c>
      <c r="O5" s="5" t="s">
        <v>234</v>
      </c>
      <c r="P5" s="5" t="s">
        <v>234</v>
      </c>
      <c r="Q5" s="5" t="s">
        <v>234</v>
      </c>
      <c r="R5" s="5" t="s">
        <v>233</v>
      </c>
      <c r="S5" s="5" t="s">
        <v>233</v>
      </c>
      <c r="T5" s="5" t="s">
        <v>233</v>
      </c>
      <c r="U5" s="5" t="s">
        <v>233</v>
      </c>
      <c r="V5" s="5" t="s">
        <v>233</v>
      </c>
      <c r="W5" s="5" t="s">
        <v>233</v>
      </c>
      <c r="X5" s="5" t="s">
        <v>233</v>
      </c>
      <c r="Y5" s="5" t="s">
        <v>233</v>
      </c>
      <c r="Z5" s="5" t="s">
        <v>233</v>
      </c>
      <c r="AA5" s="13" t="s">
        <v>236</v>
      </c>
      <c r="AB5" s="5" t="s">
        <v>7</v>
      </c>
      <c r="AC5" s="5" t="s">
        <v>7</v>
      </c>
      <c r="AE5" t="str">
        <f>B5&amp;C5&amp;D5&amp;E5&amp;F5&amp;G5&amp;H5&amp;I5&amp;J5&amp;K5&amp;L5&amp;M5&amp;N5&amp;O5&amp;P5&amp;Q5&amp;R5&amp;S5&amp;T5&amp;U5&amp;V5&amp;W5&amp;X5&amp;Y5&amp;Z5&amp;AA5&amp;AB5&amp;AC5</f>
        <v>0028391782100000000000000000000000000000141011211202500000000000100020251212000000000000000000000000000000000000000000000000000000001000000000000001000000000000001000000000000001000000000000000000000000000000000000000000000000000000000000000000000000000000000000000000000000000000000000000000000000000000000000000000000022</v>
      </c>
      <c r="AF5">
        <f t="shared" ref="AF5:AF16" si="0">LEN(AE5)</f>
        <v>322</v>
      </c>
    </row>
    <row r="6" spans="1:32" x14ac:dyDescent="0.3">
      <c r="A6" s="5" t="s">
        <v>9</v>
      </c>
      <c r="B6" s="5" t="s">
        <v>238</v>
      </c>
      <c r="C6" s="10" t="s">
        <v>9</v>
      </c>
      <c r="D6" s="16" t="s">
        <v>170</v>
      </c>
      <c r="E6" s="5" t="s">
        <v>12</v>
      </c>
      <c r="F6" s="5" t="s">
        <v>4</v>
      </c>
      <c r="G6" s="5" t="s">
        <v>151</v>
      </c>
      <c r="H6" s="5" t="s">
        <v>231</v>
      </c>
      <c r="I6" s="10" t="s">
        <v>259</v>
      </c>
      <c r="J6" s="5" t="s">
        <v>232</v>
      </c>
      <c r="K6" s="10" t="s">
        <v>260</v>
      </c>
      <c r="L6" s="10" t="s">
        <v>260</v>
      </c>
      <c r="M6" s="10" t="s">
        <v>260</v>
      </c>
      <c r="N6" s="10" t="s">
        <v>260</v>
      </c>
      <c r="O6" s="10" t="s">
        <v>259</v>
      </c>
      <c r="P6" s="10" t="s">
        <v>259</v>
      </c>
      <c r="Q6" s="10" t="s">
        <v>259</v>
      </c>
      <c r="R6" s="10" t="s">
        <v>260</v>
      </c>
      <c r="S6" s="10" t="s">
        <v>260</v>
      </c>
      <c r="T6" s="10" t="s">
        <v>260</v>
      </c>
      <c r="U6" s="10" t="s">
        <v>260</v>
      </c>
      <c r="V6" s="10" t="s">
        <v>260</v>
      </c>
      <c r="W6" s="10" t="s">
        <v>260</v>
      </c>
      <c r="X6" s="10" t="s">
        <v>260</v>
      </c>
      <c r="Y6" s="10" t="s">
        <v>260</v>
      </c>
      <c r="Z6" s="10" t="s">
        <v>260</v>
      </c>
      <c r="AA6" s="13" t="s">
        <v>236</v>
      </c>
      <c r="AB6" s="5" t="s">
        <v>7</v>
      </c>
      <c r="AC6" s="5" t="s">
        <v>7</v>
      </c>
      <c r="AE6" t="str">
        <f t="shared" ref="AE6:AE14" si="1">B6&amp;C6&amp;D6&amp;E6&amp;F6&amp;G6&amp;H6&amp;I6&amp;J6&amp;K6&amp;L6&amp;M6&amp;N6&amp;O6&amp;P6&amp;Q6&amp;R6&amp;S6&amp;T6&amp;U6&amp;V6&amp;W6&amp;X6&amp;Y6&amp;Z6&amp;AA6&amp;AB6&amp;AC6</f>
        <v>006076190630000000000000000000000000000014101202511121000           202512120              0              0              0              1000           1000           1000           0              0              0              0              0              0              0              0              0              000022</v>
      </c>
      <c r="AF6">
        <f t="shared" si="0"/>
        <v>322</v>
      </c>
    </row>
    <row r="7" spans="1:32" x14ac:dyDescent="0.3">
      <c r="A7" s="5" t="s">
        <v>12</v>
      </c>
      <c r="B7" s="5" t="s">
        <v>239</v>
      </c>
      <c r="C7" s="5" t="s">
        <v>4</v>
      </c>
      <c r="D7" s="12" t="s">
        <v>176</v>
      </c>
      <c r="E7" s="10" t="s">
        <v>15</v>
      </c>
      <c r="F7" s="5" t="s">
        <v>4</v>
      </c>
      <c r="G7" s="5" t="s">
        <v>151</v>
      </c>
      <c r="H7" s="5" t="s">
        <v>231</v>
      </c>
      <c r="I7" s="5" t="s">
        <v>261</v>
      </c>
      <c r="J7" s="5" t="s">
        <v>232</v>
      </c>
      <c r="K7" s="5" t="s">
        <v>233</v>
      </c>
      <c r="L7" s="5" t="s">
        <v>233</v>
      </c>
      <c r="M7" s="5" t="s">
        <v>233</v>
      </c>
      <c r="N7" s="5" t="s">
        <v>233</v>
      </c>
      <c r="O7" s="5" t="s">
        <v>234</v>
      </c>
      <c r="P7" s="5" t="s">
        <v>234</v>
      </c>
      <c r="Q7" s="5" t="s">
        <v>234</v>
      </c>
      <c r="R7" s="5" t="s">
        <v>233</v>
      </c>
      <c r="S7" s="5" t="s">
        <v>233</v>
      </c>
      <c r="T7" s="5" t="s">
        <v>233</v>
      </c>
      <c r="U7" s="5" t="s">
        <v>233</v>
      </c>
      <c r="V7" s="5" t="s">
        <v>233</v>
      </c>
      <c r="W7" s="5" t="s">
        <v>233</v>
      </c>
      <c r="X7" s="5" t="s">
        <v>233</v>
      </c>
      <c r="Y7" s="5" t="s">
        <v>233</v>
      </c>
      <c r="Z7" s="5" t="s">
        <v>233</v>
      </c>
      <c r="AA7" s="16" t="s">
        <v>235</v>
      </c>
      <c r="AB7" s="10" t="s">
        <v>257</v>
      </c>
      <c r="AC7" s="10" t="s">
        <v>257</v>
      </c>
      <c r="AE7" t="str">
        <f t="shared" si="1"/>
        <v>003329607k100000000000000000000000000000351012025111200000000000010020251212000000000000000000000000000000000000000000000000000000000000000000000001000000000000001000000000000001000000000000000000000000000000000000000000000000000000000000000000000000000000000000000000000000000000000000000000000000000000000000000000000100</v>
      </c>
      <c r="AF7">
        <f t="shared" si="0"/>
        <v>322</v>
      </c>
    </row>
    <row r="8" spans="1:32" x14ac:dyDescent="0.3">
      <c r="A8" s="5" t="s">
        <v>15</v>
      </c>
      <c r="B8" s="5" t="s">
        <v>240</v>
      </c>
      <c r="C8" s="5" t="s">
        <v>4</v>
      </c>
      <c r="D8" s="12" t="s">
        <v>177</v>
      </c>
      <c r="E8" s="5" t="s">
        <v>12</v>
      </c>
      <c r="F8" s="10" t="s">
        <v>257</v>
      </c>
      <c r="G8" s="5" t="s">
        <v>151</v>
      </c>
      <c r="H8" s="5" t="s">
        <v>231</v>
      </c>
      <c r="I8" s="5" t="s">
        <v>234</v>
      </c>
      <c r="J8" s="5" t="s">
        <v>232</v>
      </c>
      <c r="K8" s="5" t="s">
        <v>233</v>
      </c>
      <c r="L8" s="5" t="s">
        <v>233</v>
      </c>
      <c r="M8" s="5" t="s">
        <v>233</v>
      </c>
      <c r="N8" s="5" t="s">
        <v>233</v>
      </c>
      <c r="O8" s="5" t="s">
        <v>234</v>
      </c>
      <c r="P8" s="5" t="s">
        <v>234</v>
      </c>
      <c r="Q8" s="5" t="s">
        <v>234</v>
      </c>
      <c r="R8" s="5" t="s">
        <v>233</v>
      </c>
      <c r="S8" s="5" t="s">
        <v>233</v>
      </c>
      <c r="T8" s="5" t="s">
        <v>233</v>
      </c>
      <c r="U8" s="5" t="s">
        <v>233</v>
      </c>
      <c r="V8" s="5" t="s">
        <v>233</v>
      </c>
      <c r="W8" s="5" t="s">
        <v>233</v>
      </c>
      <c r="X8" s="5" t="s">
        <v>233</v>
      </c>
      <c r="Y8" s="5" t="s">
        <v>233</v>
      </c>
      <c r="Z8" s="5" t="s">
        <v>233</v>
      </c>
      <c r="AA8" s="13" t="s">
        <v>236</v>
      </c>
      <c r="AB8" s="5" t="s">
        <v>7</v>
      </c>
      <c r="AC8" s="5" t="s">
        <v>7</v>
      </c>
      <c r="AE8" t="str">
        <f t="shared" si="1"/>
        <v>0071579719100000000000000000000000000000440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8">
        <f t="shared" si="0"/>
        <v>322</v>
      </c>
    </row>
    <row r="9" spans="1:32" x14ac:dyDescent="0.3">
      <c r="A9" s="5" t="s">
        <v>17</v>
      </c>
      <c r="B9" s="5" t="s">
        <v>241</v>
      </c>
      <c r="C9" s="5" t="s">
        <v>4</v>
      </c>
      <c r="D9" s="12" t="s">
        <v>183</v>
      </c>
      <c r="E9" s="5" t="s">
        <v>12</v>
      </c>
      <c r="F9" s="5" t="s">
        <v>4</v>
      </c>
      <c r="G9" s="10" t="s">
        <v>194</v>
      </c>
      <c r="H9" s="5" t="s">
        <v>231</v>
      </c>
      <c r="I9" s="5" t="s">
        <v>234</v>
      </c>
      <c r="J9" s="5" t="s">
        <v>232</v>
      </c>
      <c r="K9" s="5" t="s">
        <v>233</v>
      </c>
      <c r="L9" s="5" t="s">
        <v>233</v>
      </c>
      <c r="M9" s="5" t="s">
        <v>233</v>
      </c>
      <c r="N9" s="5" t="s">
        <v>233</v>
      </c>
      <c r="O9" s="5" t="s">
        <v>234</v>
      </c>
      <c r="P9" s="5" t="s">
        <v>234</v>
      </c>
      <c r="Q9" s="5" t="s">
        <v>234</v>
      </c>
      <c r="R9" s="5" t="s">
        <v>233</v>
      </c>
      <c r="S9" s="5" t="s">
        <v>233</v>
      </c>
      <c r="T9" s="5" t="s">
        <v>233</v>
      </c>
      <c r="U9" s="5" t="s">
        <v>233</v>
      </c>
      <c r="V9" s="5" t="s">
        <v>233</v>
      </c>
      <c r="W9" s="5" t="s">
        <v>233</v>
      </c>
      <c r="X9" s="5" t="s">
        <v>233</v>
      </c>
      <c r="Y9" s="5" t="s">
        <v>233</v>
      </c>
      <c r="Z9" s="5" t="s">
        <v>233</v>
      </c>
      <c r="AA9" s="13" t="s">
        <v>236</v>
      </c>
      <c r="AB9" s="5" t="s">
        <v>7</v>
      </c>
      <c r="AC9" s="5" t="s">
        <v>7</v>
      </c>
      <c r="AE9" t="str">
        <f t="shared" si="1"/>
        <v>004744014910000000000000000000000000000054199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9">
        <f t="shared" si="0"/>
        <v>322</v>
      </c>
    </row>
    <row r="10" spans="1:32" x14ac:dyDescent="0.3">
      <c r="A10" s="5" t="s">
        <v>19</v>
      </c>
      <c r="B10" s="5" t="s">
        <v>242</v>
      </c>
      <c r="C10" s="5" t="s">
        <v>4</v>
      </c>
      <c r="D10" s="12" t="s">
        <v>184</v>
      </c>
      <c r="E10" s="5" t="s">
        <v>12</v>
      </c>
      <c r="F10" s="5" t="s">
        <v>4</v>
      </c>
      <c r="G10" s="5" t="s">
        <v>151</v>
      </c>
      <c r="H10" s="5" t="s">
        <v>231</v>
      </c>
      <c r="I10" s="10" t="s">
        <v>234</v>
      </c>
      <c r="J10" s="5" t="s">
        <v>232</v>
      </c>
      <c r="K10" s="5" t="s">
        <v>233</v>
      </c>
      <c r="L10" s="5" t="s">
        <v>233</v>
      </c>
      <c r="M10" s="5" t="s">
        <v>233</v>
      </c>
      <c r="N10" s="5" t="s">
        <v>233</v>
      </c>
      <c r="O10" s="5" t="s">
        <v>234</v>
      </c>
      <c r="P10" s="5" t="s">
        <v>234</v>
      </c>
      <c r="Q10" s="5" t="s">
        <v>233</v>
      </c>
      <c r="R10" s="5" t="s">
        <v>234</v>
      </c>
      <c r="S10" s="5" t="s">
        <v>233</v>
      </c>
      <c r="T10" s="5" t="s">
        <v>233</v>
      </c>
      <c r="U10" s="5" t="s">
        <v>233</v>
      </c>
      <c r="V10" s="5" t="s">
        <v>233</v>
      </c>
      <c r="W10" s="5" t="s">
        <v>233</v>
      </c>
      <c r="X10" s="5" t="s">
        <v>233</v>
      </c>
      <c r="Y10" s="5" t="s">
        <v>233</v>
      </c>
      <c r="Z10" s="5" t="s">
        <v>233</v>
      </c>
      <c r="AA10" s="16" t="s">
        <v>236</v>
      </c>
      <c r="AB10" s="5" t="s">
        <v>7</v>
      </c>
      <c r="AC10" s="5" t="s">
        <v>7</v>
      </c>
      <c r="AE10" t="str">
        <f t="shared" si="1"/>
        <v>0029788065100000000000000000000000000000641012025111200000000000100020251212000000000000000000000000000000000000000000000000000000000000000000000001000000000000001000000000000000000000000000001000000000000000000000000000000000000000000000000000000000000000000000000000000000000000000000000000000000000000000000000000000022</v>
      </c>
      <c r="AF10">
        <f t="shared" si="0"/>
        <v>322</v>
      </c>
    </row>
    <row r="11" spans="1:32" x14ac:dyDescent="0.3">
      <c r="A11" s="5" t="s">
        <v>20</v>
      </c>
      <c r="B11" s="5" t="s">
        <v>243</v>
      </c>
      <c r="C11" s="5" t="s">
        <v>4</v>
      </c>
      <c r="D11" s="12" t="s">
        <v>249</v>
      </c>
      <c r="E11" s="5" t="s">
        <v>12</v>
      </c>
      <c r="F11" s="5" t="s">
        <v>4</v>
      </c>
      <c r="G11" s="5" t="s">
        <v>151</v>
      </c>
      <c r="H11" s="5" t="s">
        <v>231</v>
      </c>
      <c r="I11" s="10" t="s">
        <v>234</v>
      </c>
      <c r="J11" s="5" t="s">
        <v>232</v>
      </c>
      <c r="K11" s="5" t="s">
        <v>233</v>
      </c>
      <c r="L11" s="5" t="s">
        <v>233</v>
      </c>
      <c r="M11" s="5" t="s">
        <v>233</v>
      </c>
      <c r="N11" s="5" t="s">
        <v>233</v>
      </c>
      <c r="O11" s="5" t="s">
        <v>234</v>
      </c>
      <c r="P11" s="5" t="s">
        <v>234</v>
      </c>
      <c r="Q11" s="10" t="s">
        <v>234</v>
      </c>
      <c r="R11" s="5" t="s">
        <v>233</v>
      </c>
      <c r="S11" s="5" t="s">
        <v>233</v>
      </c>
      <c r="T11" s="5" t="s">
        <v>233</v>
      </c>
      <c r="U11" s="5" t="s">
        <v>233</v>
      </c>
      <c r="V11" s="5" t="s">
        <v>233</v>
      </c>
      <c r="W11" s="5" t="s">
        <v>233</v>
      </c>
      <c r="X11" s="5" t="s">
        <v>233</v>
      </c>
      <c r="Y11" s="5" t="s">
        <v>233</v>
      </c>
      <c r="Z11" s="5" t="s">
        <v>233</v>
      </c>
      <c r="AA11" s="16" t="s">
        <v>236</v>
      </c>
      <c r="AB11" s="5" t="s">
        <v>7</v>
      </c>
      <c r="AC11" s="10" t="s">
        <v>4</v>
      </c>
      <c r="AE11" t="str">
        <f t="shared" si="1"/>
        <v>00338879651000000000000000000000000000007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1</v>
      </c>
      <c r="AF11">
        <f t="shared" si="0"/>
        <v>322</v>
      </c>
    </row>
    <row r="12" spans="1:32" x14ac:dyDescent="0.3">
      <c r="A12" s="5" t="s">
        <v>22</v>
      </c>
      <c r="B12" s="5" t="s">
        <v>244</v>
      </c>
      <c r="C12" s="5" t="s">
        <v>4</v>
      </c>
      <c r="D12" s="12" t="s">
        <v>250</v>
      </c>
      <c r="E12" s="5" t="s">
        <v>12</v>
      </c>
      <c r="F12" s="5" t="s">
        <v>4</v>
      </c>
      <c r="G12" s="5" t="s">
        <v>151</v>
      </c>
      <c r="H12" s="5" t="s">
        <v>231</v>
      </c>
      <c r="I12" s="5" t="s">
        <v>234</v>
      </c>
      <c r="J12" s="5" t="s">
        <v>232</v>
      </c>
      <c r="K12" s="5" t="s">
        <v>233</v>
      </c>
      <c r="L12" s="5" t="s">
        <v>233</v>
      </c>
      <c r="M12" s="5" t="s">
        <v>233</v>
      </c>
      <c r="N12" s="5" t="s">
        <v>233</v>
      </c>
      <c r="O12" s="5" t="s">
        <v>234</v>
      </c>
      <c r="P12" s="5" t="s">
        <v>234</v>
      </c>
      <c r="Q12" s="5" t="s">
        <v>234</v>
      </c>
      <c r="R12" s="5" t="s">
        <v>233</v>
      </c>
      <c r="S12" s="5" t="s">
        <v>233</v>
      </c>
      <c r="T12" s="5" t="s">
        <v>233</v>
      </c>
      <c r="U12" s="5" t="s">
        <v>233</v>
      </c>
      <c r="V12" s="5" t="s">
        <v>233</v>
      </c>
      <c r="W12" s="5" t="s">
        <v>233</v>
      </c>
      <c r="X12" s="5" t="s">
        <v>233</v>
      </c>
      <c r="Y12" s="5" t="s">
        <v>233</v>
      </c>
      <c r="Z12" s="5" t="s">
        <v>233</v>
      </c>
      <c r="AA12" s="13" t="s">
        <v>236</v>
      </c>
      <c r="AB12" s="5" t="s">
        <v>7</v>
      </c>
      <c r="AC12" s="5" t="s">
        <v>7</v>
      </c>
      <c r="AE12" t="str">
        <f t="shared" si="1"/>
        <v>00492317331000000000000000000000000000008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2">
        <f t="shared" si="0"/>
        <v>322</v>
      </c>
    </row>
    <row r="13" spans="1:32" x14ac:dyDescent="0.3">
      <c r="A13" s="5" t="s">
        <v>24</v>
      </c>
      <c r="B13" s="5" t="s">
        <v>245</v>
      </c>
      <c r="C13" s="5" t="s">
        <v>4</v>
      </c>
      <c r="D13" s="12" t="s">
        <v>251</v>
      </c>
      <c r="E13" s="5" t="s">
        <v>12</v>
      </c>
      <c r="F13" s="5" t="s">
        <v>4</v>
      </c>
      <c r="G13" s="5" t="s">
        <v>151</v>
      </c>
      <c r="H13" s="5" t="s">
        <v>231</v>
      </c>
      <c r="I13" s="5" t="s">
        <v>234</v>
      </c>
      <c r="J13" s="5" t="s">
        <v>232</v>
      </c>
      <c r="K13" s="5" t="s">
        <v>233</v>
      </c>
      <c r="L13" s="5" t="s">
        <v>233</v>
      </c>
      <c r="M13" s="5" t="s">
        <v>233</v>
      </c>
      <c r="N13" s="5" t="s">
        <v>233</v>
      </c>
      <c r="O13" s="5" t="s">
        <v>234</v>
      </c>
      <c r="P13" s="5" t="s">
        <v>234</v>
      </c>
      <c r="Q13" s="5" t="s">
        <v>234</v>
      </c>
      <c r="R13" s="5" t="s">
        <v>233</v>
      </c>
      <c r="S13" s="5" t="s">
        <v>233</v>
      </c>
      <c r="T13" s="5" t="s">
        <v>233</v>
      </c>
      <c r="U13" s="5" t="s">
        <v>233</v>
      </c>
      <c r="V13" s="5" t="s">
        <v>233</v>
      </c>
      <c r="W13" s="5" t="s">
        <v>233</v>
      </c>
      <c r="X13" s="5" t="s">
        <v>233</v>
      </c>
      <c r="Y13" s="5" t="s">
        <v>233</v>
      </c>
      <c r="Z13" s="5" t="s">
        <v>233</v>
      </c>
      <c r="AA13" s="13" t="s">
        <v>236</v>
      </c>
      <c r="AB13" s="5" t="s">
        <v>7</v>
      </c>
      <c r="AC13" s="5" t="s">
        <v>7</v>
      </c>
      <c r="AE13" t="str">
        <f t="shared" si="1"/>
        <v>00272581821000000000000000000000000000009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3">
        <f t="shared" si="0"/>
        <v>322</v>
      </c>
    </row>
    <row r="14" spans="1:32" x14ac:dyDescent="0.3">
      <c r="A14" s="5" t="s">
        <v>27</v>
      </c>
      <c r="B14" s="5" t="s">
        <v>246</v>
      </c>
      <c r="C14" s="5" t="s">
        <v>4</v>
      </c>
      <c r="D14" s="12" t="s">
        <v>252</v>
      </c>
      <c r="E14" s="5" t="s">
        <v>12</v>
      </c>
      <c r="F14" s="5" t="s">
        <v>4</v>
      </c>
      <c r="G14" s="5" t="s">
        <v>151</v>
      </c>
      <c r="H14" s="5" t="s">
        <v>231</v>
      </c>
      <c r="I14" s="5" t="s">
        <v>234</v>
      </c>
      <c r="J14" s="5" t="s">
        <v>232</v>
      </c>
      <c r="K14" s="5" t="s">
        <v>233</v>
      </c>
      <c r="L14" s="5" t="s">
        <v>233</v>
      </c>
      <c r="M14" s="5" t="s">
        <v>233</v>
      </c>
      <c r="N14" s="5" t="s">
        <v>233</v>
      </c>
      <c r="O14" s="5" t="s">
        <v>234</v>
      </c>
      <c r="P14" s="5" t="s">
        <v>234</v>
      </c>
      <c r="Q14" s="5" t="s">
        <v>234</v>
      </c>
      <c r="R14" s="5" t="s">
        <v>233</v>
      </c>
      <c r="S14" s="5" t="s">
        <v>233</v>
      </c>
      <c r="T14" s="5" t="s">
        <v>233</v>
      </c>
      <c r="U14" s="5" t="s">
        <v>233</v>
      </c>
      <c r="V14" s="5" t="s">
        <v>233</v>
      </c>
      <c r="W14" s="5" t="s">
        <v>233</v>
      </c>
      <c r="X14" s="5" t="s">
        <v>233</v>
      </c>
      <c r="Y14" s="5" t="s">
        <v>233</v>
      </c>
      <c r="Z14" s="5" t="s">
        <v>233</v>
      </c>
      <c r="AA14" s="13" t="s">
        <v>236</v>
      </c>
      <c r="AB14" s="5" t="s">
        <v>7</v>
      </c>
      <c r="AC14" s="5" t="s">
        <v>7</v>
      </c>
      <c r="AE14" t="str">
        <f t="shared" si="1"/>
        <v>0071085198100000000000000000000000000001041012025111200000000000100020251212000000000000000000000000000000000000000000000000000000000000000000000001000000000000001000000000000001000000000000000000000000000000000000000000000000000000000000000000000000000000000000000000000000000000000000000000000000000000000000000000000022</v>
      </c>
      <c r="AF14">
        <f t="shared" si="0"/>
        <v>322</v>
      </c>
    </row>
    <row r="15" spans="1:32" x14ac:dyDescent="0.3">
      <c r="A15" s="5" t="s">
        <v>28</v>
      </c>
      <c r="B15" s="14" t="s">
        <v>256</v>
      </c>
      <c r="C15" s="5" t="s">
        <v>4</v>
      </c>
      <c r="D15" s="12" t="s">
        <v>170</v>
      </c>
      <c r="E15" s="5" t="s">
        <v>12</v>
      </c>
      <c r="F15" s="5" t="s">
        <v>7</v>
      </c>
      <c r="G15" s="5" t="s">
        <v>151</v>
      </c>
      <c r="H15" s="5" t="s">
        <v>231</v>
      </c>
      <c r="I15" s="5" t="s">
        <v>233</v>
      </c>
      <c r="J15" s="5" t="s">
        <v>232</v>
      </c>
      <c r="K15" s="5" t="s">
        <v>233</v>
      </c>
      <c r="L15" s="5" t="s">
        <v>233</v>
      </c>
      <c r="M15" s="5" t="s">
        <v>233</v>
      </c>
      <c r="N15" s="5" t="s">
        <v>233</v>
      </c>
      <c r="O15" s="5" t="s">
        <v>234</v>
      </c>
      <c r="P15" s="5" t="s">
        <v>234</v>
      </c>
      <c r="Q15" s="5" t="s">
        <v>233</v>
      </c>
      <c r="R15" s="5" t="s">
        <v>234</v>
      </c>
      <c r="S15" s="5" t="s">
        <v>233</v>
      </c>
      <c r="T15" s="5" t="s">
        <v>233</v>
      </c>
      <c r="U15" s="5" t="s">
        <v>233</v>
      </c>
      <c r="V15" s="5" t="s">
        <v>233</v>
      </c>
      <c r="W15" s="5" t="s">
        <v>233</v>
      </c>
      <c r="X15" s="5" t="s">
        <v>233</v>
      </c>
      <c r="Y15" s="5" t="s">
        <v>233</v>
      </c>
      <c r="Z15" s="5" t="s">
        <v>233</v>
      </c>
      <c r="AA15" s="13" t="s">
        <v>235</v>
      </c>
      <c r="AB15" s="5" t="s">
        <v>7</v>
      </c>
      <c r="AC15" s="5" t="s">
        <v>4</v>
      </c>
      <c r="AE15" t="str">
        <f>B15&amp;C15&amp;D15&amp;E15&amp;F15&amp;G15&amp;H15&amp;I15&amp;J15&amp;K15&amp;L15&amp;M15&amp;N15&amp;O15&amp;P15&amp;Q15&amp;R15&amp;S15&amp;T15&amp;U15&amp;V15&amp;W15&amp;X15&amp;Y15&amp;Z15&amp;AA15&amp;AB15&amp;AC15</f>
        <v>0127558591100000000000000000000000000000142012025111200000000000000020251212000000000000000000000000000000000000000000000000000000000000000000000001000000000000001000000000000000000000000000001000000000000000000000000000000000000000000000000000000000000000000000000000000000000000000000000000000000000000000000000000000121</v>
      </c>
      <c r="AF15">
        <f t="shared" si="0"/>
        <v>322</v>
      </c>
    </row>
    <row r="16" spans="1:32" x14ac:dyDescent="0.3">
      <c r="A16" s="5" t="s">
        <v>32</v>
      </c>
      <c r="B16" s="14" t="s">
        <v>256</v>
      </c>
      <c r="C16" s="5" t="s">
        <v>4</v>
      </c>
      <c r="D16" s="12" t="s">
        <v>170</v>
      </c>
      <c r="E16" s="5" t="s">
        <v>12</v>
      </c>
      <c r="F16" s="5" t="s">
        <v>7</v>
      </c>
      <c r="G16" s="5" t="s">
        <v>151</v>
      </c>
      <c r="H16" s="5" t="s">
        <v>231</v>
      </c>
      <c r="I16" s="5" t="s">
        <v>233</v>
      </c>
      <c r="J16" s="5" t="s">
        <v>232</v>
      </c>
      <c r="K16" s="5" t="s">
        <v>233</v>
      </c>
      <c r="L16" s="5" t="s">
        <v>233</v>
      </c>
      <c r="M16" s="5" t="s">
        <v>233</v>
      </c>
      <c r="N16" s="5" t="s">
        <v>233</v>
      </c>
      <c r="O16" s="5" t="s">
        <v>234</v>
      </c>
      <c r="P16" s="5" t="s">
        <v>234</v>
      </c>
      <c r="Q16" s="5" t="s">
        <v>233</v>
      </c>
      <c r="R16" s="5" t="s">
        <v>234</v>
      </c>
      <c r="S16" s="5" t="s">
        <v>233</v>
      </c>
      <c r="T16" s="5" t="s">
        <v>233</v>
      </c>
      <c r="U16" s="5" t="s">
        <v>233</v>
      </c>
      <c r="V16" s="5" t="s">
        <v>233</v>
      </c>
      <c r="W16" s="5" t="s">
        <v>233</v>
      </c>
      <c r="X16" s="5" t="s">
        <v>233</v>
      </c>
      <c r="Y16" s="5" t="s">
        <v>233</v>
      </c>
      <c r="Z16" s="5" t="s">
        <v>233</v>
      </c>
      <c r="AA16" s="13" t="s">
        <v>235</v>
      </c>
      <c r="AB16" s="5" t="s">
        <v>7</v>
      </c>
      <c r="AC16" s="5" t="s">
        <v>4</v>
      </c>
      <c r="AE16" t="str">
        <f>B16&amp;C16&amp;D16&amp;E16&amp;F16&amp;G16&amp;H16&amp;I16&amp;J16&amp;K16&amp;L16&amp;M16&amp;N16&amp;O16&amp;P16&amp;Q16&amp;R16&amp;S16&amp;T16&amp;U16&amp;V16&amp;W16&amp;X16&amp;Y16&amp;Z16&amp;AA16&amp;AB16&amp;AC16</f>
        <v>0127558591100000000000000000000000000000142012025111200000000000000020251212000000000000000000000000000000000000000000000000000000000000000000000001000000000000001000000000000000000000000000001000000000000000000000000000000000000000000000000000000000000000000000000000000000000000000000000000000000000000000000000000000121</v>
      </c>
      <c r="AF16">
        <f t="shared" si="0"/>
        <v>322</v>
      </c>
    </row>
    <row r="19" spans="1:5" ht="15" x14ac:dyDescent="0.3">
      <c r="A19" s="1" t="s">
        <v>0</v>
      </c>
      <c r="B19" s="2" t="s">
        <v>1</v>
      </c>
      <c r="C19" s="5" t="s">
        <v>188</v>
      </c>
      <c r="D19" s="5" t="s">
        <v>189</v>
      </c>
      <c r="E19" s="5" t="s">
        <v>191</v>
      </c>
    </row>
    <row r="20" spans="1:5" ht="15" hidden="1" x14ac:dyDescent="0.3">
      <c r="A20" s="1" t="s">
        <v>4</v>
      </c>
      <c r="B20" s="2" t="s">
        <v>30</v>
      </c>
      <c r="C20" s="5" t="s">
        <v>4</v>
      </c>
      <c r="D20" s="5" t="s">
        <v>190</v>
      </c>
      <c r="E20" s="5" t="s">
        <v>190</v>
      </c>
    </row>
    <row r="21" spans="1:5" ht="15" hidden="1" x14ac:dyDescent="0.3">
      <c r="A21" s="2" t="s">
        <v>7</v>
      </c>
      <c r="B21" s="2" t="s">
        <v>8</v>
      </c>
      <c r="C21" s="5" t="s">
        <v>4</v>
      </c>
      <c r="D21" s="5" t="s">
        <v>190</v>
      </c>
      <c r="E21" s="5" t="s">
        <v>190</v>
      </c>
    </row>
    <row r="22" spans="1:5" ht="15" hidden="1" x14ac:dyDescent="0.3">
      <c r="A22" s="2" t="s">
        <v>9</v>
      </c>
      <c r="B22" s="2" t="s">
        <v>10</v>
      </c>
      <c r="C22" s="5" t="s">
        <v>4</v>
      </c>
      <c r="D22" s="5" t="s">
        <v>190</v>
      </c>
      <c r="E22" s="5" t="s">
        <v>190</v>
      </c>
    </row>
    <row r="23" spans="1:5" ht="15" hidden="1" x14ac:dyDescent="0.3">
      <c r="A23" s="2" t="s">
        <v>12</v>
      </c>
      <c r="B23" s="2" t="s">
        <v>11</v>
      </c>
      <c r="C23" s="5" t="s">
        <v>7</v>
      </c>
      <c r="D23" s="5" t="s">
        <v>190</v>
      </c>
      <c r="E23" s="5" t="s">
        <v>190</v>
      </c>
    </row>
    <row r="24" spans="1:5" ht="15" hidden="1" x14ac:dyDescent="0.3">
      <c r="A24" s="2" t="s">
        <v>12</v>
      </c>
      <c r="B24" s="2" t="s">
        <v>11</v>
      </c>
      <c r="C24" s="5" t="s">
        <v>28</v>
      </c>
      <c r="D24" s="5" t="s">
        <v>190</v>
      </c>
      <c r="E24" s="5" t="s">
        <v>190</v>
      </c>
    </row>
    <row r="25" spans="1:5" ht="15" x14ac:dyDescent="0.3">
      <c r="A25" s="2" t="s">
        <v>12</v>
      </c>
      <c r="B25" s="2" t="s">
        <v>11</v>
      </c>
      <c r="C25" s="5" t="s">
        <v>32</v>
      </c>
      <c r="D25" s="5" t="s">
        <v>190</v>
      </c>
      <c r="E25" s="5" t="s">
        <v>190</v>
      </c>
    </row>
    <row r="26" spans="1:5" ht="15" hidden="1" x14ac:dyDescent="0.3">
      <c r="A26" s="2" t="s">
        <v>15</v>
      </c>
      <c r="B26" s="2" t="s">
        <v>13</v>
      </c>
      <c r="C26" s="5" t="s">
        <v>9</v>
      </c>
      <c r="D26" s="5" t="s">
        <v>190</v>
      </c>
      <c r="E26" s="5" t="s">
        <v>190</v>
      </c>
    </row>
    <row r="27" spans="1:5" ht="15" hidden="1" x14ac:dyDescent="0.3">
      <c r="A27" s="2" t="s">
        <v>17</v>
      </c>
      <c r="B27" s="2" t="s">
        <v>18</v>
      </c>
      <c r="C27" s="5" t="s">
        <v>12</v>
      </c>
      <c r="D27" s="5" t="s">
        <v>190</v>
      </c>
      <c r="E27" s="5" t="s">
        <v>190</v>
      </c>
    </row>
    <row r="28" spans="1:5" ht="15" hidden="1" x14ac:dyDescent="0.3">
      <c r="A28" s="2" t="s">
        <v>19</v>
      </c>
      <c r="B28" s="2" t="s">
        <v>31</v>
      </c>
      <c r="C28" s="5" t="s">
        <v>15</v>
      </c>
      <c r="D28" s="5" t="s">
        <v>190</v>
      </c>
      <c r="E28" s="5" t="s">
        <v>190</v>
      </c>
    </row>
    <row r="29" spans="1:5" ht="15" hidden="1" x14ac:dyDescent="0.3">
      <c r="A29" s="2" t="s">
        <v>20</v>
      </c>
      <c r="B29" s="2" t="s">
        <v>21</v>
      </c>
      <c r="C29" s="5" t="s">
        <v>17</v>
      </c>
      <c r="D29" s="5" t="s">
        <v>190</v>
      </c>
      <c r="E29" s="5" t="s">
        <v>190</v>
      </c>
    </row>
    <row r="30" spans="1:5" ht="15" hidden="1" x14ac:dyDescent="0.3">
      <c r="A30" s="2" t="s">
        <v>22</v>
      </c>
      <c r="B30" s="2" t="s">
        <v>23</v>
      </c>
      <c r="C30" s="5" t="s">
        <v>7</v>
      </c>
      <c r="D30" s="5" t="s">
        <v>190</v>
      </c>
      <c r="E30" s="5" t="s">
        <v>190</v>
      </c>
    </row>
    <row r="31" spans="1:5" ht="15" hidden="1" x14ac:dyDescent="0.3">
      <c r="A31" s="2" t="s">
        <v>24</v>
      </c>
      <c r="B31" s="2" t="s">
        <v>25</v>
      </c>
      <c r="C31" s="5" t="s">
        <v>9</v>
      </c>
      <c r="D31" s="5" t="s">
        <v>190</v>
      </c>
      <c r="E31" s="5" t="s">
        <v>190</v>
      </c>
    </row>
    <row r="32" spans="1:5" ht="15" hidden="1" x14ac:dyDescent="0.3">
      <c r="A32" s="2" t="s">
        <v>28</v>
      </c>
      <c r="B32" s="2" t="s">
        <v>29</v>
      </c>
      <c r="C32" s="5" t="s">
        <v>12</v>
      </c>
      <c r="D32" s="5" t="s">
        <v>190</v>
      </c>
      <c r="E32" s="5" t="s">
        <v>190</v>
      </c>
    </row>
    <row r="33" spans="1:5" ht="15" hidden="1" x14ac:dyDescent="0.3">
      <c r="A33" s="2" t="s">
        <v>32</v>
      </c>
      <c r="B33" s="2" t="s">
        <v>33</v>
      </c>
      <c r="C33" s="5" t="s">
        <v>12</v>
      </c>
      <c r="D33" s="5" t="s">
        <v>190</v>
      </c>
      <c r="E33" s="5" t="s">
        <v>190</v>
      </c>
    </row>
    <row r="34" spans="1:5" ht="15" hidden="1" x14ac:dyDescent="0.3">
      <c r="A34" s="2" t="s">
        <v>65</v>
      </c>
      <c r="B34" s="2" t="s">
        <v>67</v>
      </c>
      <c r="C34" s="5" t="s">
        <v>4</v>
      </c>
      <c r="D34" s="5" t="s">
        <v>190</v>
      </c>
      <c r="E34" s="5" t="s">
        <v>190</v>
      </c>
    </row>
    <row r="35" spans="1:5" ht="15" hidden="1" x14ac:dyDescent="0.3">
      <c r="A35" s="2" t="s">
        <v>69</v>
      </c>
      <c r="B35" s="2" t="s">
        <v>262</v>
      </c>
      <c r="C35" s="5" t="s">
        <v>19</v>
      </c>
      <c r="D35" s="5" t="s">
        <v>190</v>
      </c>
      <c r="E35" s="5" t="s">
        <v>190</v>
      </c>
    </row>
    <row r="36" spans="1:5" ht="15" hidden="1" x14ac:dyDescent="0.3">
      <c r="A36" s="2" t="s">
        <v>70</v>
      </c>
      <c r="B36" s="2" t="s">
        <v>71</v>
      </c>
      <c r="C36" s="5" t="s">
        <v>12</v>
      </c>
      <c r="D36" s="5" t="s">
        <v>190</v>
      </c>
      <c r="E36" s="5" t="s">
        <v>190</v>
      </c>
    </row>
    <row r="37" spans="1:5" ht="15" hidden="1" x14ac:dyDescent="0.3">
      <c r="A37" s="2" t="s">
        <v>72</v>
      </c>
      <c r="B37" s="2" t="s">
        <v>73</v>
      </c>
      <c r="C37" s="5" t="s">
        <v>19</v>
      </c>
      <c r="D37" s="5" t="s">
        <v>190</v>
      </c>
      <c r="E37" s="5" t="s">
        <v>190</v>
      </c>
    </row>
    <row r="38" spans="1:5" ht="15" hidden="1" x14ac:dyDescent="0.3">
      <c r="A38" s="2" t="s">
        <v>74</v>
      </c>
      <c r="B38" s="2" t="s">
        <v>75</v>
      </c>
      <c r="C38" s="5" t="s">
        <v>20</v>
      </c>
      <c r="D38" s="5" t="s">
        <v>190</v>
      </c>
      <c r="E38" s="5" t="s">
        <v>190</v>
      </c>
    </row>
    <row r="39" spans="1:5" ht="15" hidden="1" x14ac:dyDescent="0.3">
      <c r="A39" s="2" t="s">
        <v>76</v>
      </c>
      <c r="B39" s="2" t="s">
        <v>77</v>
      </c>
      <c r="C39" s="5" t="s">
        <v>20</v>
      </c>
      <c r="D39" s="5" t="s">
        <v>190</v>
      </c>
      <c r="E39" s="5" t="s">
        <v>190</v>
      </c>
    </row>
    <row r="40" spans="1:5" ht="15" hidden="1" x14ac:dyDescent="0.3">
      <c r="A40" s="2" t="s">
        <v>78</v>
      </c>
      <c r="B40" s="2" t="s">
        <v>79</v>
      </c>
      <c r="C40" s="5" t="s">
        <v>20</v>
      </c>
      <c r="D40" s="5" t="s">
        <v>190</v>
      </c>
      <c r="E40" s="5" t="s">
        <v>190</v>
      </c>
    </row>
    <row r="41" spans="1:5" ht="15" hidden="1" x14ac:dyDescent="0.3">
      <c r="A41" s="2" t="s">
        <v>80</v>
      </c>
      <c r="B41" s="2" t="s">
        <v>81</v>
      </c>
      <c r="C41" s="5" t="s">
        <v>7</v>
      </c>
      <c r="D41" s="5" t="s">
        <v>190</v>
      </c>
      <c r="E41" s="5" t="s">
        <v>190</v>
      </c>
    </row>
    <row r="42" spans="1:5" ht="15" hidden="1" x14ac:dyDescent="0.3">
      <c r="A42" s="2" t="s">
        <v>80</v>
      </c>
      <c r="B42" s="2" t="s">
        <v>81</v>
      </c>
      <c r="C42" s="5" t="s">
        <v>9</v>
      </c>
      <c r="D42" s="5" t="s">
        <v>190</v>
      </c>
      <c r="E42" s="5" t="s">
        <v>190</v>
      </c>
    </row>
    <row r="43" spans="1:5" ht="15" hidden="1" x14ac:dyDescent="0.3">
      <c r="A43" s="2" t="s">
        <v>82</v>
      </c>
      <c r="B43" s="2" t="s">
        <v>83</v>
      </c>
      <c r="C43" s="5" t="s">
        <v>28</v>
      </c>
      <c r="D43" s="5" t="s">
        <v>190</v>
      </c>
      <c r="E43" s="5" t="s">
        <v>190</v>
      </c>
    </row>
    <row r="44" spans="1:5" ht="15" x14ac:dyDescent="0.3">
      <c r="A44" s="2" t="s">
        <v>82</v>
      </c>
      <c r="B44" s="2" t="s">
        <v>83</v>
      </c>
      <c r="C44" s="5" t="s">
        <v>32</v>
      </c>
      <c r="D44" s="5" t="s">
        <v>190</v>
      </c>
      <c r="E44" s="5" t="s">
        <v>190</v>
      </c>
    </row>
  </sheetData>
  <autoFilter ref="A19:E44" xr:uid="{E52049CF-118F-4A61-8377-C0F111F3D277}">
    <filterColumn colId="2">
      <filters>
        <filter val="13"/>
      </filters>
    </filterColumn>
  </autoFilter>
  <conditionalFormatting sqref="AF1:AF1048576">
    <cfRule type="cellIs" dxfId="0" priority="1" operator="notEqual">
      <formula>322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diccionario_validador</vt:lpstr>
      <vt:lpstr>QA RDC20 Salida buena</vt:lpstr>
      <vt:lpstr>QA RDC20 Salida mala</vt:lpstr>
      <vt:lpstr>QA RDC20 Salida mala (2)</vt:lpstr>
      <vt:lpstr>QA RDC20 Salida mala (3)</vt:lpstr>
      <vt:lpstr>QA RDC01 Salida buena</vt:lpstr>
      <vt:lpstr>QA RDC01 Salida 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2026-01-23T01:36:00Z</dcterms:modified>
</cp:coreProperties>
</file>